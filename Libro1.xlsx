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avi\Desktop\"/>
    </mc:Choice>
  </mc:AlternateContent>
  <xr:revisionPtr revIDLastSave="0" documentId="13_ncr:1_{F4C026C9-5A8D-403C-8923-ED11B8ED9D4A}" xr6:coauthVersionLast="47" xr6:coauthVersionMax="47" xr10:uidLastSave="{00000000-0000-0000-0000-000000000000}"/>
  <bookViews>
    <workbookView xWindow="-120" yWindow="-120" windowWidth="29040" windowHeight="15840" activeTab="5" xr2:uid="{4EAA600F-B719-42BD-AC96-E81C59D775BA}"/>
  </bookViews>
  <sheets>
    <sheet name="Hoja1" sheetId="1" r:id="rId1"/>
    <sheet name="Hoja2" sheetId="2" r:id="rId2"/>
    <sheet name="MANEJO DE FILAS Y COLUMNAS" sheetId="3" r:id="rId3"/>
    <sheet name="MANEJO DE TABLAS" sheetId="4" r:id="rId4"/>
    <sheet name="FORMATO DECELDAS,RANGOS,TABLAS" sheetId="5" r:id="rId5"/>
    <sheet name="ejercicios con tablas" sheetId="6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6" i="6" l="1"/>
  <c r="S6" i="6"/>
  <c r="T6" i="6" s="1"/>
  <c r="T4" i="6"/>
  <c r="Q4" i="6"/>
  <c r="J5" i="6"/>
  <c r="J4" i="6"/>
  <c r="K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4" i="6"/>
  <c r="P29" i="6"/>
  <c r="P27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P14" i="6"/>
  <c r="P12" i="6"/>
  <c r="P10" i="6"/>
  <c r="Q8" i="6"/>
  <c r="E14" i="5"/>
  <c r="F26" i="5"/>
  <c r="F27" i="5"/>
  <c r="G26" i="5"/>
  <c r="G27" i="5"/>
  <c r="G25" i="5"/>
  <c r="F25" i="5"/>
  <c r="E26" i="5"/>
  <c r="E27" i="5"/>
  <c r="E25" i="5"/>
  <c r="G19" i="5"/>
  <c r="G20" i="5"/>
  <c r="F19" i="5"/>
  <c r="F20" i="5"/>
  <c r="E19" i="5"/>
  <c r="E20" i="5"/>
  <c r="G18" i="5"/>
  <c r="F18" i="5"/>
  <c r="E18" i="5"/>
</calcChain>
</file>

<file path=xl/sharedStrings.xml><?xml version="1.0" encoding="utf-8"?>
<sst xmlns="http://schemas.openxmlformats.org/spreadsheetml/2006/main" count="447" uniqueCount="180">
  <si>
    <t>dvdsvsd</t>
  </si>
  <si>
    <t>sds</t>
  </si>
  <si>
    <t>s</t>
  </si>
  <si>
    <t>sdf</t>
  </si>
  <si>
    <t>FACTURA N</t>
  </si>
  <si>
    <t>CANTIDAD</t>
  </si>
  <si>
    <t>DESCRIPCIÓN</t>
  </si>
  <si>
    <t>PRECIO UNITARIO</t>
  </si>
  <si>
    <t>IMPORTE</t>
  </si>
  <si>
    <t>IVA</t>
  </si>
  <si>
    <t>BASE IMPONIBLE</t>
  </si>
  <si>
    <t>IMPORTE IVA</t>
  </si>
  <si>
    <t>TOTAL FACTURA</t>
  </si>
  <si>
    <t>FECHA:</t>
  </si>
  <si>
    <t>NIF:</t>
  </si>
  <si>
    <t>NIF o DNI:</t>
  </si>
  <si>
    <t>DESTINATARIO:</t>
  </si>
  <si>
    <t>Ciudad</t>
  </si>
  <si>
    <t>Departamento</t>
  </si>
  <si>
    <t>Apellido</t>
  </si>
  <si>
    <t>Sueldo (BOB)</t>
  </si>
  <si>
    <t>La Paz</t>
  </si>
  <si>
    <t>Técnico TI</t>
  </si>
  <si>
    <t>Pérez</t>
  </si>
  <si>
    <t>Cochabamba</t>
  </si>
  <si>
    <t>Contabilidad</t>
  </si>
  <si>
    <t>Gómez</t>
  </si>
  <si>
    <t>Potosí</t>
  </si>
  <si>
    <t>Finanzas</t>
  </si>
  <si>
    <t>Mamani</t>
  </si>
  <si>
    <t>Santa Cruz</t>
  </si>
  <si>
    <t>Recursos Humanos</t>
  </si>
  <si>
    <t>Rojas</t>
  </si>
  <si>
    <t>Oruro</t>
  </si>
  <si>
    <t>Operaciones</t>
  </si>
  <si>
    <t>Flores</t>
  </si>
  <si>
    <t>Sucre</t>
  </si>
  <si>
    <t>Legal</t>
  </si>
  <si>
    <t>Quispe</t>
  </si>
  <si>
    <t>Tarija</t>
  </si>
  <si>
    <t>Ventas</t>
  </si>
  <si>
    <t>Vargas</t>
  </si>
  <si>
    <t>Trinidad</t>
  </si>
  <si>
    <t>Logística</t>
  </si>
  <si>
    <t>Choque</t>
  </si>
  <si>
    <t>Cobija</t>
  </si>
  <si>
    <t>Marketing</t>
  </si>
  <si>
    <t>Mendoza</t>
  </si>
  <si>
    <t>El Alto</t>
  </si>
  <si>
    <t>Gutierrez</t>
  </si>
  <si>
    <t>VALOR</t>
  </si>
  <si>
    <t>FORMATO NUMERO</t>
  </si>
  <si>
    <t>FORMATO MONEDA</t>
  </si>
  <si>
    <t>FORMATO PERSONALIZADO</t>
  </si>
  <si>
    <t>FORMATO DE FECHAS</t>
  </si>
  <si>
    <t>FORMATO DE TELEFONO</t>
  </si>
  <si>
    <t>FORMATO1</t>
  </si>
  <si>
    <t>FORMATO2</t>
  </si>
  <si>
    <t>FORMATO3</t>
  </si>
  <si>
    <t>000012</t>
  </si>
  <si>
    <t>0000765765</t>
  </si>
  <si>
    <t>00000767</t>
  </si>
  <si>
    <t>Código de Caja</t>
  </si>
  <si>
    <t>Área de Origen</t>
  </si>
  <si>
    <t>Serie Documental</t>
  </si>
  <si>
    <t>Año / Gestión</t>
  </si>
  <si>
    <t>N° de Carpetas</t>
  </si>
  <si>
    <t>Estado</t>
  </si>
  <si>
    <t>CJ-RH-001</t>
  </si>
  <si>
    <t>Expedientes Laborales</t>
  </si>
  <si>
    <t>Completo</t>
  </si>
  <si>
    <t>CJ-FI-001</t>
  </si>
  <si>
    <t>Facturas de Compra</t>
  </si>
  <si>
    <t>En Revisión</t>
  </si>
  <si>
    <t>CJ-LE-001</t>
  </si>
  <si>
    <t>Contratos de Servicios</t>
  </si>
  <si>
    <t>CJ-RH-002</t>
  </si>
  <si>
    <t>Planillas de Sueldos</t>
  </si>
  <si>
    <t>CJ-LO-001</t>
  </si>
  <si>
    <t>Guías de Remisión</t>
  </si>
  <si>
    <t>Incompleto</t>
  </si>
  <si>
    <t>CJ-FI-002</t>
  </si>
  <si>
    <t>Informes Tributarios</t>
  </si>
  <si>
    <t>CJ-LE-002</t>
  </si>
  <si>
    <t>Actas de Directorio</t>
  </si>
  <si>
    <t>CJ-LO-002</t>
  </si>
  <si>
    <t>Control de Almacén</t>
  </si>
  <si>
    <t>CJ-FI-003</t>
  </si>
  <si>
    <t>Recibos de Caja</t>
  </si>
  <si>
    <t>CJ-RH-003</t>
  </si>
  <si>
    <t>Memorándums</t>
  </si>
  <si>
    <t>CJ-LE-003</t>
  </si>
  <si>
    <t>Procesos Judiciales</t>
  </si>
  <si>
    <t>CJ-LO-003</t>
  </si>
  <si>
    <t>Órdenes de Compra</t>
  </si>
  <si>
    <t>CJ-FI-004</t>
  </si>
  <si>
    <t>Balances Generales</t>
  </si>
  <si>
    <t>CJ-RH-004</t>
  </si>
  <si>
    <t>Evaluaciones</t>
  </si>
  <si>
    <t>CJ-LE-004</t>
  </si>
  <si>
    <t>Poderes Notariales</t>
  </si>
  <si>
    <t>CJ-FI-005</t>
  </si>
  <si>
    <t>Conciliaciones</t>
  </si>
  <si>
    <t>CJ-LO-004</t>
  </si>
  <si>
    <t>Inventario Físico</t>
  </si>
  <si>
    <t>CJ-LE-005</t>
  </si>
  <si>
    <t>Auditorías Legales</t>
  </si>
  <si>
    <t>CJ-FI-006</t>
  </si>
  <si>
    <t>Extractos Bancarios</t>
  </si>
  <si>
    <t>CJ-RH-005</t>
  </si>
  <si>
    <t>Contratos Personal</t>
  </si>
  <si>
    <t>CJ-LO-005</t>
  </si>
  <si>
    <t>Reportes de Distribución</t>
  </si>
  <si>
    <t>CJ-RH-006</t>
  </si>
  <si>
    <t>Registro de Asistencia</t>
  </si>
  <si>
    <t>CJ-FI-007</t>
  </si>
  <si>
    <t>Presupuestos</t>
  </si>
  <si>
    <t>CJ-LO-006</t>
  </si>
  <si>
    <t>Control de Combustible</t>
  </si>
  <si>
    <t>CJ-LE-006</t>
  </si>
  <si>
    <t>Propiedad Intelectual</t>
  </si>
  <si>
    <t>CJ-FI-008</t>
  </si>
  <si>
    <t>Comprobantes de Egreso</t>
  </si>
  <si>
    <t>CJ-LO-007</t>
  </si>
  <si>
    <t>Mantenimiento Vehículos</t>
  </si>
  <si>
    <t>CJ-LE-007</t>
  </si>
  <si>
    <t>Convenios Institucionales</t>
  </si>
  <si>
    <t>CJ-RH-007</t>
  </si>
  <si>
    <t>Legajos Técnicos</t>
  </si>
  <si>
    <t>CJ-FI-009</t>
  </si>
  <si>
    <t>Libros IVA</t>
  </si>
  <si>
    <t>CJ-LE-008</t>
  </si>
  <si>
    <t>Correspondencia Recibida</t>
  </si>
  <si>
    <t>CJ-RH-008</t>
  </si>
  <si>
    <t>Altas y Bajas Seguro</t>
  </si>
  <si>
    <t>CJ-FI-010</t>
  </si>
  <si>
    <t>Declaraciones Juradas</t>
  </si>
  <si>
    <t>CJ-LO-008</t>
  </si>
  <si>
    <t>Hojas de Ruta</t>
  </si>
  <si>
    <t>CJ-LE-009</t>
  </si>
  <si>
    <t>Actas de Conformidad</t>
  </si>
  <si>
    <t>CJ-RH-009</t>
  </si>
  <si>
    <t>Reclutamiento</t>
  </si>
  <si>
    <t>CJ-LO-009</t>
  </si>
  <si>
    <t>Salida de Materiales</t>
  </si>
  <si>
    <t>CJ-FI-011</t>
  </si>
  <si>
    <t>Auditorías Internas</t>
  </si>
  <si>
    <t>CJ-LE-010</t>
  </si>
  <si>
    <t>Títulos de Propiedad</t>
  </si>
  <si>
    <t>CJ-RH-010</t>
  </si>
  <si>
    <t>Capacitaciones</t>
  </si>
  <si>
    <t>CJ-LO-010</t>
  </si>
  <si>
    <t>Cartas de Porte</t>
  </si>
  <si>
    <t>Objetivo: Averiguar cuántas cajas del área de Finanzas corresponden estrictamente al año 2024.</t>
  </si>
  <si>
    <r>
      <t>Objetivo:</t>
    </r>
    <r>
      <rPr>
        <sz val="14"/>
        <color theme="1"/>
        <rFont val="Aptos Narrow"/>
        <family val="2"/>
        <scheme val="minor"/>
      </rPr>
      <t xml:space="preserve"> Calcular el total exacto de carpetas que ha enviado el departamento de </t>
    </r>
    <r>
      <rPr>
        <b/>
        <sz val="14"/>
        <color theme="1"/>
        <rFont val="Arial"/>
        <family val="2"/>
      </rPr>
      <t>Logística</t>
    </r>
    <r>
      <rPr>
        <sz val="14"/>
        <color theme="1"/>
        <rFont val="Aptos Narrow"/>
        <family val="2"/>
        <scheme val="minor"/>
      </rPr>
      <t xml:space="preserve"> para medir el espacio físico que ocuparán.</t>
    </r>
  </si>
  <si>
    <r>
      <t>Objetivo:</t>
    </r>
    <r>
      <rPr>
        <sz val="14"/>
        <color theme="1"/>
        <rFont val="Aptos Narrow"/>
        <family val="2"/>
        <scheme val="minor"/>
      </rPr>
      <t xml:space="preserve"> Obtener el promedio de carpetas por caja que genera el área de </t>
    </r>
    <r>
      <rPr>
        <b/>
        <sz val="14"/>
        <color theme="1"/>
        <rFont val="Arial"/>
        <family val="2"/>
      </rPr>
      <t>Recursos Humanos</t>
    </r>
  </si>
  <si>
    <r>
      <t>Objetivo:</t>
    </r>
    <r>
      <rPr>
        <sz val="14"/>
        <color theme="1"/>
        <rFont val="Aptos Narrow"/>
        <family val="2"/>
        <scheme val="minor"/>
      </rPr>
      <t xml:space="preserve"> Crear una columna de auditoría automática (puedes ponerla en la columna G). Si el estado es "Incompleto", debe decir "Revisar Urgente"; si está "En Revisión", debe decir "Seguimiento"; de lo contrario, "OK".</t>
    </r>
  </si>
  <si>
    <t>auditoria automatica</t>
  </si>
  <si>
    <r>
      <t>Objetivo:</t>
    </r>
    <r>
      <rPr>
        <sz val="14"/>
        <color theme="1"/>
        <rFont val="Aptos Narrow"/>
        <family val="2"/>
        <scheme val="minor"/>
      </rPr>
      <t xml:space="preserve"> En una celda limpia (por ejemplo, </t>
    </r>
    <r>
      <rPr>
        <sz val="14"/>
        <color theme="1"/>
        <rFont val="Courier New"/>
        <family val="3"/>
      </rPr>
      <t>H2</t>
    </r>
    <r>
      <rPr>
        <sz val="14"/>
        <color theme="1"/>
        <rFont val="Aptos Narrow"/>
        <family val="2"/>
        <scheme val="minor"/>
      </rPr>
      <t xml:space="preserve">), escribe el código </t>
    </r>
    <r>
      <rPr>
        <sz val="14"/>
        <color theme="1"/>
        <rFont val="Courier New"/>
        <family val="3"/>
      </rPr>
      <t>CJ-LE-003</t>
    </r>
    <r>
      <rPr>
        <sz val="14"/>
        <color theme="1"/>
        <rFont val="Aptos Narrow"/>
        <family val="2"/>
        <scheme val="minor"/>
      </rPr>
      <t xml:space="preserve">. En la celda de al lado, escribe una fórmula para que busque automáticamente a qué </t>
    </r>
    <r>
      <rPr>
        <b/>
        <sz val="14"/>
        <color theme="1"/>
        <rFont val="Arial"/>
        <family val="2"/>
      </rPr>
      <t>Área de Origen</t>
    </r>
    <r>
      <rPr>
        <sz val="14"/>
        <color theme="1"/>
        <rFont val="Aptos Narrow"/>
        <family val="2"/>
        <scheme val="minor"/>
      </rPr>
      <t xml:space="preserve"> pertenece ese código en la tabla.</t>
    </r>
  </si>
  <si>
    <r>
      <t>Objetivo:</t>
    </r>
    <r>
      <rPr>
        <sz val="14"/>
        <color theme="1"/>
        <rFont val="Aptos Narrow"/>
        <family val="2"/>
        <scheme val="minor"/>
      </rPr>
      <t xml:space="preserve"> Como informático sabes que los IDs deben ser únicos. Vamos a generar un código de barra de ubicación uniendo el Código de Caja con el Año. Pon esta fórmula en la columna H para automatizar el etiquetado.</t>
    </r>
  </si>
  <si>
    <r>
      <t>Objetivo:</t>
    </r>
    <r>
      <rPr>
        <sz val="14"/>
        <color theme="1"/>
        <rFont val="Aptos Narrow"/>
        <family val="2"/>
        <scheme val="minor"/>
      </rPr>
      <t xml:space="preserve"> El archivo central elimina o transfiere documentos antiguos. En la columna </t>
    </r>
    <r>
      <rPr>
        <b/>
        <sz val="14"/>
        <color theme="1"/>
        <rFont val="Arial"/>
        <family val="2"/>
      </rPr>
      <t>G</t>
    </r>
    <r>
      <rPr>
        <sz val="14"/>
        <color theme="1"/>
        <rFont val="Aptos Narrow"/>
        <family val="2"/>
        <scheme val="minor"/>
      </rPr>
      <t xml:space="preserve">, crea una alerta que compare el año del documento. Si el año es menor o igual a 2023, debe decir </t>
    </r>
    <r>
      <rPr>
        <sz val="14"/>
        <color theme="1"/>
        <rFont val="Courier New"/>
        <family val="3"/>
      </rPr>
      <t>"Transferir a Histórico"</t>
    </r>
    <r>
      <rPr>
        <sz val="14"/>
        <color theme="1"/>
        <rFont val="Aptos Narrow"/>
        <family val="2"/>
        <scheme val="minor"/>
      </rPr>
      <t xml:space="preserve">; si es mayor, debe decir </t>
    </r>
    <r>
      <rPr>
        <sz val="14"/>
        <color theme="1"/>
        <rFont val="Courier New"/>
        <family val="3"/>
      </rPr>
      <t>"Custodia Activa"</t>
    </r>
  </si>
  <si>
    <r>
      <t>Objetivo:</t>
    </r>
    <r>
      <rPr>
        <sz val="11"/>
        <color theme="1"/>
        <rFont val="Aptos Narrow"/>
        <family val="2"/>
        <scheme val="minor"/>
      </rPr>
      <t xml:space="preserve"> Encuentra las cajas que son verdaderos problemas para el archivo. Si una caja pertenece al año </t>
    </r>
    <r>
      <rPr>
        <sz val="11"/>
        <color theme="1"/>
        <rFont val="Courier New"/>
        <family val="3"/>
      </rPr>
      <t>2025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rial"/>
        <family val="2"/>
      </rPr>
      <t>Y</t>
    </r>
    <r>
      <rPr>
        <sz val="11"/>
        <color theme="1"/>
        <rFont val="Aptos Narrow"/>
        <family val="2"/>
        <scheme val="minor"/>
      </rPr>
      <t xml:space="preserve"> además su estado es </t>
    </r>
    <r>
      <rPr>
        <sz val="11"/>
        <color theme="1"/>
        <rFont val="Courier New"/>
        <family val="3"/>
      </rPr>
      <t>"Incompleto"</t>
    </r>
    <r>
      <rPr>
        <sz val="11"/>
        <color theme="1"/>
        <rFont val="Aptos Narrow"/>
        <family val="2"/>
        <scheme val="minor"/>
      </rPr>
      <t xml:space="preserve">, la fórmula debe arrojar </t>
    </r>
    <r>
      <rPr>
        <sz val="11"/>
        <color theme="1"/>
        <rFont val="Courier New"/>
        <family val="3"/>
      </rPr>
      <t>"URGENTE: Completar"</t>
    </r>
    <r>
      <rPr>
        <sz val="11"/>
        <color theme="1"/>
        <rFont val="Aptos Narrow"/>
        <family val="2"/>
        <scheme val="minor"/>
      </rPr>
      <t xml:space="preserve">. Si no cumple ambas condiciones, debe dejar la celda en blanco </t>
    </r>
    <r>
      <rPr>
        <sz val="11"/>
        <color theme="1"/>
        <rFont val="Courier New"/>
        <family val="3"/>
      </rPr>
      <t>""</t>
    </r>
    <r>
      <rPr>
        <sz val="11"/>
        <color theme="1"/>
        <rFont val="Aptos Narrow"/>
        <family val="2"/>
        <scheme val="minor"/>
      </rPr>
      <t>.</t>
    </r>
  </si>
  <si>
    <r>
      <t>Objetivo:</t>
    </r>
    <r>
      <rPr>
        <sz val="11"/>
        <color theme="1"/>
        <rFont val="Aptos Narrow"/>
        <family val="2"/>
        <scheme val="minor"/>
      </rPr>
      <t xml:space="preserve"> Imagina que tu jefe te pide saber cuántas cajas contienen la palabra "Contratos" o "Control" en su serie documental, pero no recuerdas los nombres exactos. Usaremos el comodín asterisco </t>
    </r>
    <r>
      <rPr>
        <sz val="11"/>
        <color theme="1"/>
        <rFont val="Courier New"/>
        <family val="3"/>
      </rPr>
      <t>*</t>
    </r>
    <r>
      <rPr>
        <sz val="11"/>
        <color theme="1"/>
        <rFont val="Aptos Narrow"/>
        <family val="2"/>
        <scheme val="minor"/>
      </rPr>
      <t>.</t>
    </r>
  </si>
  <si>
    <r>
      <t>Objetivo:</t>
    </r>
    <r>
      <rPr>
        <sz val="14"/>
        <color theme="1"/>
        <rFont val="Aptos Narrow"/>
        <family val="2"/>
        <scheme val="minor"/>
      </rPr>
      <t xml:space="preserve"> El espacio físico en las estanterías es limitado. Necesitas calcular cuántas carpetas en total tiene el área de </t>
    </r>
    <r>
      <rPr>
        <b/>
        <sz val="14"/>
        <color theme="1"/>
        <rFont val="Arial"/>
        <family val="2"/>
      </rPr>
      <t>Finanzas</t>
    </r>
    <r>
      <rPr>
        <sz val="14"/>
        <color theme="1"/>
        <rFont val="Aptos Narrow"/>
        <family val="2"/>
        <scheme val="minor"/>
      </rPr>
      <t xml:space="preserve"> que correspondan exclusivamente a la gestión </t>
    </r>
    <r>
      <rPr>
        <b/>
        <sz val="14"/>
        <color theme="1"/>
        <rFont val="Arial"/>
        <family val="2"/>
      </rPr>
      <t>2024</t>
    </r>
    <r>
      <rPr>
        <sz val="14"/>
        <color theme="1"/>
        <rFont val="Aptos Narrow"/>
        <family val="2"/>
        <scheme val="minor"/>
      </rPr>
      <t>.</t>
    </r>
  </si>
  <si>
    <r>
      <t>Objetivo:</t>
    </r>
    <r>
      <rPr>
        <sz val="14"/>
        <color theme="1"/>
        <rFont val="Aptos Narrow"/>
        <family val="2"/>
        <scheme val="minor"/>
      </rPr>
      <t xml:space="preserve"> En informática, los códigos deben estandarizarse. Vamos a diseñar un código de ubicación dinámico en la columna </t>
    </r>
    <r>
      <rPr>
        <b/>
        <sz val="14"/>
        <color theme="1"/>
        <rFont val="Arial"/>
        <family val="2"/>
      </rPr>
      <t>I</t>
    </r>
    <r>
      <rPr>
        <sz val="14"/>
        <color theme="1"/>
        <rFont val="Aptos Narrow"/>
        <family val="2"/>
        <scheme val="minor"/>
      </rPr>
      <t>. Queremos tomar las primeras 2 letras del Área de Origen, un guion, y el Código de Caja.</t>
    </r>
  </si>
  <si>
    <t>Columna1</t>
  </si>
  <si>
    <t>Columna2</t>
  </si>
  <si>
    <t>Columna3</t>
  </si>
  <si>
    <t>Columna4</t>
  </si>
  <si>
    <t>Etiquetas de fila</t>
  </si>
  <si>
    <t>Total general</t>
  </si>
  <si>
    <t>Suma de N° de Carpetas</t>
  </si>
  <si>
    <t>Etiquetas de columna</t>
  </si>
  <si>
    <t>transferir a historco</t>
  </si>
  <si>
    <t>Cuenta de Área de Origen</t>
  </si>
  <si>
    <t>codigo de caja</t>
  </si>
  <si>
    <t>area de origen</t>
  </si>
  <si>
    <t>estado</t>
  </si>
  <si>
    <t>codigo de barra</t>
  </si>
  <si>
    <t>serie documental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</si>
</sst>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Bs&quot;#,##0.00;[Red]\-&quot;Bs&quot;#,##0.00"/>
    <numFmt numFmtId="164" formatCode="&quot;Bs&quot;#,##0.00"/>
    <numFmt numFmtId="165" formatCode="#,##0.00\ &quot;Bolivianos&quot;"/>
    <numFmt numFmtId="166" formatCode="[$-F800]dddd\,\ mmmm\ dd\,\ yyyy"/>
    <numFmt numFmtId="167" formatCode="yyyy\-mm\-dd;@"/>
    <numFmt numFmtId="168" formatCode="[$-400A]d&quot; de &quot;mmmm&quot; de &quot;yyyy;@"/>
    <numFmt numFmtId="169" formatCode="\(####\)\ #\ #\ #\-#\ #\ #"/>
    <numFmt numFmtId="170" formatCode="\(####\)###\-###"/>
    <numFmt numFmtId="171" formatCode="\(\+\5\1\)\ ####\-###\-###"/>
  </numFmts>
  <fonts count="1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sz val="14"/>
      <color theme="1"/>
      <name val="Aptos Narrow"/>
      <family val="2"/>
      <scheme val="minor"/>
    </font>
    <font>
      <i/>
      <sz val="12"/>
      <color theme="1"/>
      <name val="Arial"/>
      <family val="2"/>
    </font>
    <font>
      <b/>
      <sz val="12"/>
      <color theme="1"/>
      <name val="Arial"/>
      <family val="2"/>
    </font>
    <font>
      <i/>
      <sz val="14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Courier New"/>
      <family val="3"/>
    </font>
    <font>
      <sz val="14"/>
      <color theme="1"/>
      <name val="Courier New"/>
      <family val="3"/>
    </font>
    <font>
      <sz val="8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0.74999237037263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0" xfId="0" applyFill="1"/>
    <xf numFmtId="0" fontId="0" fillId="0" borderId="0" xfId="0" applyAlignment="1"/>
    <xf numFmtId="0" fontId="0" fillId="0" borderId="20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9" xfId="0" applyBorder="1"/>
    <xf numFmtId="0" fontId="0" fillId="0" borderId="19" xfId="0" applyBorder="1"/>
    <xf numFmtId="0" fontId="0" fillId="0" borderId="30" xfId="0" applyBorder="1"/>
    <xf numFmtId="0" fontId="1" fillId="3" borderId="18" xfId="0" applyFont="1" applyFill="1" applyBorder="1" applyAlignment="1">
      <alignment vertical="center"/>
    </xf>
    <xf numFmtId="0" fontId="1" fillId="3" borderId="14" xfId="0" applyFont="1" applyFill="1" applyBorder="1" applyAlignment="1">
      <alignment vertical="center"/>
    </xf>
    <xf numFmtId="0" fontId="1" fillId="4" borderId="30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19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 wrapText="1"/>
    </xf>
    <xf numFmtId="0" fontId="0" fillId="0" borderId="33" xfId="0" applyBorder="1"/>
    <xf numFmtId="0" fontId="0" fillId="0" borderId="34" xfId="0" applyBorder="1"/>
    <xf numFmtId="0" fontId="0" fillId="0" borderId="21" xfId="0" applyFill="1" applyBorder="1"/>
    <xf numFmtId="0" fontId="0" fillId="0" borderId="0" xfId="0" applyFill="1" applyBorder="1"/>
    <xf numFmtId="0" fontId="0" fillId="0" borderId="24" xfId="0" applyFill="1" applyBorder="1"/>
    <xf numFmtId="0" fontId="2" fillId="0" borderId="19" xfId="0" applyFont="1" applyBorder="1"/>
    <xf numFmtId="0" fontId="4" fillId="0" borderId="1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164" fontId="4" fillId="0" borderId="18" xfId="0" applyNumberFormat="1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164" fontId="4" fillId="0" borderId="10" xfId="0" applyNumberFormat="1" applyFont="1" applyBorder="1" applyAlignment="1">
      <alignment vertical="center" wrapText="1"/>
    </xf>
    <xf numFmtId="0" fontId="3" fillId="7" borderId="15" xfId="0" applyFont="1" applyFill="1" applyBorder="1" applyAlignment="1">
      <alignment horizontal="center" vertical="center" wrapText="1"/>
    </xf>
    <xf numFmtId="0" fontId="3" fillId="7" borderId="28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0" fillId="9" borderId="0" xfId="0" applyFill="1"/>
    <xf numFmtId="0" fontId="0" fillId="8" borderId="0" xfId="0" applyFill="1" applyAlignment="1">
      <alignment horizontal="center" vertical="center"/>
    </xf>
    <xf numFmtId="164" fontId="0" fillId="0" borderId="0" xfId="0" applyNumberFormat="1" applyFill="1"/>
    <xf numFmtId="165" fontId="0" fillId="0" borderId="0" xfId="0" applyNumberFormat="1" applyFill="1"/>
    <xf numFmtId="165" fontId="0" fillId="0" borderId="0" xfId="0" applyNumberFormat="1"/>
    <xf numFmtId="8" fontId="0" fillId="0" borderId="0" xfId="0" applyNumberFormat="1" applyFill="1"/>
    <xf numFmtId="165" fontId="0" fillId="9" borderId="0" xfId="0" applyNumberFormat="1" applyFill="1"/>
    <xf numFmtId="14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168" fontId="0" fillId="0" borderId="1" xfId="0" applyNumberFormat="1" applyBorder="1"/>
    <xf numFmtId="0" fontId="0" fillId="11" borderId="1" xfId="0" applyFill="1" applyBorder="1"/>
    <xf numFmtId="169" fontId="0" fillId="0" borderId="1" xfId="0" applyNumberFormat="1" applyBorder="1"/>
    <xf numFmtId="170" fontId="0" fillId="0" borderId="1" xfId="0" applyNumberFormat="1" applyBorder="1"/>
    <xf numFmtId="171" fontId="0" fillId="0" borderId="1" xfId="0" applyNumberFormat="1" applyBorder="1"/>
    <xf numFmtId="49" fontId="0" fillId="9" borderId="0" xfId="0" applyNumberFormat="1" applyFill="1"/>
    <xf numFmtId="49" fontId="0" fillId="0" borderId="0" xfId="0" applyNumberFormat="1" applyFill="1"/>
    <xf numFmtId="0" fontId="6" fillId="0" borderId="0" xfId="0" applyFont="1"/>
    <xf numFmtId="0" fontId="0" fillId="13" borderId="0" xfId="0" applyNumberFormat="1" applyFill="1"/>
    <xf numFmtId="0" fontId="7" fillId="0" borderId="0" xfId="0" applyFont="1"/>
    <xf numFmtId="0" fontId="9" fillId="0" borderId="0" xfId="0" applyFont="1"/>
    <xf numFmtId="0" fontId="0" fillId="15" borderId="0" xfId="0" applyFill="1"/>
    <xf numFmtId="0" fontId="9" fillId="16" borderId="0" xfId="0" applyFont="1" applyFill="1"/>
    <xf numFmtId="0" fontId="9" fillId="9" borderId="0" xfId="0" applyFont="1" applyFill="1"/>
    <xf numFmtId="0" fontId="9" fillId="0" borderId="0" xfId="0" applyFont="1" applyFill="1"/>
    <xf numFmtId="0" fontId="9" fillId="17" borderId="0" xfId="0" applyFont="1" applyFill="1"/>
    <xf numFmtId="0" fontId="7" fillId="11" borderId="0" xfId="0" applyFont="1" applyFill="1"/>
    <xf numFmtId="0" fontId="9" fillId="18" borderId="0" xfId="0" applyFont="1" applyFill="1"/>
    <xf numFmtId="0" fontId="5" fillId="12" borderId="1" xfId="0" applyFont="1" applyFill="1" applyBorder="1" applyAlignment="1" applyProtection="1">
      <alignment horizontal="center" vertical="center" wrapText="1"/>
      <protection locked="0"/>
    </xf>
    <xf numFmtId="0" fontId="5" fillId="14" borderId="0" xfId="0" applyFont="1" applyFill="1" applyBorder="1" applyAlignment="1" applyProtection="1">
      <alignment horizontal="center" vertical="center" wrapText="1"/>
      <protection locked="0"/>
    </xf>
    <xf numFmtId="0" fontId="5" fillId="9" borderId="0" xfId="0" applyFont="1" applyFill="1" applyBorder="1" applyAlignment="1" applyProtection="1">
      <alignment horizontal="center" vertical="center" wrapText="1"/>
      <protection locked="0"/>
    </xf>
    <xf numFmtId="0" fontId="5" fillId="17" borderId="0" xfId="0" applyFont="1" applyFill="1" applyBorder="1" applyAlignment="1" applyProtection="1">
      <alignment horizontal="center" vertical="center" wrapText="1"/>
      <protection locked="0"/>
    </xf>
    <xf numFmtId="0" fontId="5" fillId="11" borderId="0" xfId="0" applyFont="1" applyFill="1" applyBorder="1" applyAlignment="1" applyProtection="1">
      <alignment horizontal="center" vertical="center" wrapText="1"/>
      <protection locked="0"/>
    </xf>
    <xf numFmtId="0" fontId="5" fillId="18" borderId="0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vertical="center" wrapText="1"/>
      <protection locked="0"/>
    </xf>
    <xf numFmtId="0" fontId="4" fillId="0" borderId="0" xfId="0" applyFont="1" applyBorder="1" applyAlignment="1" applyProtection="1">
      <alignment vertical="center" wrapText="1"/>
      <protection locked="0"/>
    </xf>
    <xf numFmtId="0" fontId="4" fillId="0" borderId="0" xfId="0" applyFont="1" applyFill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5" fillId="12" borderId="16" xfId="0" applyFont="1" applyFill="1" applyBorder="1" applyAlignment="1" applyProtection="1">
      <alignment horizontal="center" vertical="center" wrapText="1"/>
      <protection locked="0"/>
    </xf>
    <xf numFmtId="0" fontId="4" fillId="0" borderId="16" xfId="0" applyFont="1" applyBorder="1" applyAlignment="1" applyProtection="1">
      <alignment vertical="center" wrapText="1"/>
      <protection locked="0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4" fillId="20" borderId="20" xfId="0" applyFont="1" applyFill="1" applyBorder="1" applyAlignment="1">
      <alignment horizontal="center" vertical="center"/>
    </xf>
    <xf numFmtId="0" fontId="14" fillId="20" borderId="25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vertical="center" wrapText="1"/>
    </xf>
    <xf numFmtId="0" fontId="4" fillId="0" borderId="35" xfId="0" applyFont="1" applyBorder="1" applyAlignment="1">
      <alignment vertical="center" wrapText="1"/>
    </xf>
    <xf numFmtId="0" fontId="2" fillId="0" borderId="33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1" fillId="4" borderId="30" xfId="0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/>
    </xf>
    <xf numFmtId="0" fontId="1" fillId="4" borderId="3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30" xfId="0" applyFont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2" fillId="0" borderId="31" xfId="0" applyFont="1" applyBorder="1" applyAlignment="1">
      <alignment horizontal="left"/>
    </xf>
    <xf numFmtId="0" fontId="0" fillId="0" borderId="20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7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0" xfId="0" applyFont="1" applyFill="1" applyBorder="1" applyAlignment="1">
      <alignment horizontal="right" vertical="center"/>
    </xf>
    <xf numFmtId="0" fontId="2" fillId="0" borderId="32" xfId="0" applyFont="1" applyFill="1" applyBorder="1" applyAlignment="1">
      <alignment horizontal="right" vertical="center"/>
    </xf>
    <xf numFmtId="0" fontId="2" fillId="0" borderId="31" xfId="0" applyFont="1" applyFill="1" applyBorder="1" applyAlignment="1">
      <alignment horizontal="right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2" fillId="5" borderId="30" xfId="0" applyFont="1" applyFill="1" applyBorder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0" hidden="0"/>
    </dxf>
    <dxf>
      <font>
        <color rgb="FF9C0006"/>
      </font>
    </dxf>
    <dxf>
      <font>
        <color rgb="FF9C0006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&quot;Bs&quot;#,##0.0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18</xdr:row>
      <xdr:rowOff>104775</xdr:rowOff>
    </xdr:from>
    <xdr:to>
      <xdr:col>8</xdr:col>
      <xdr:colOff>409575</xdr:colOff>
      <xdr:row>27</xdr:row>
      <xdr:rowOff>123825</xdr:rowOff>
    </xdr:to>
    <xdr:sp macro="" textlink="">
      <xdr:nvSpPr>
        <xdr:cNvPr id="2" name="Flecha: arriba y abajo 1">
          <a:extLst>
            <a:ext uri="{FF2B5EF4-FFF2-40B4-BE49-F238E27FC236}">
              <a16:creationId xmlns:a16="http://schemas.microsoft.com/office/drawing/2014/main" id="{AA0F4861-100B-E3F8-7F9F-AE074D0314FB}"/>
            </a:ext>
          </a:extLst>
        </xdr:cNvPr>
        <xdr:cNvSpPr/>
      </xdr:nvSpPr>
      <xdr:spPr>
        <a:xfrm>
          <a:off x="5010150" y="3552825"/>
          <a:ext cx="1495425" cy="1733550"/>
        </a:xfrm>
        <a:prstGeom prst="up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590550</xdr:colOff>
      <xdr:row>11</xdr:row>
      <xdr:rowOff>0</xdr:rowOff>
    </xdr:from>
    <xdr:to>
      <xdr:col>8</xdr:col>
      <xdr:colOff>238125</xdr:colOff>
      <xdr:row>25</xdr:row>
      <xdr:rowOff>19050</xdr:rowOff>
    </xdr:to>
    <xdr:sp macro="" textlink="">
      <xdr:nvSpPr>
        <xdr:cNvPr id="2" name="Flecha: en U 1">
          <a:extLst>
            <a:ext uri="{FF2B5EF4-FFF2-40B4-BE49-F238E27FC236}">
              <a16:creationId xmlns:a16="http://schemas.microsoft.com/office/drawing/2014/main" id="{613FBBA2-9876-9F60-87DB-30E21D743D0F}"/>
            </a:ext>
          </a:extLst>
        </xdr:cNvPr>
        <xdr:cNvSpPr/>
      </xdr:nvSpPr>
      <xdr:spPr>
        <a:xfrm>
          <a:off x="5162550" y="2095500"/>
          <a:ext cx="1171575" cy="2686050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67</xdr:row>
      <xdr:rowOff>85725</xdr:rowOff>
    </xdr:from>
    <xdr:to>
      <xdr:col>9</xdr:col>
      <xdr:colOff>1428750</xdr:colOff>
      <xdr:row>69</xdr:row>
      <xdr:rowOff>171450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A1BC05FE-7C2B-3E4A-7320-0D7E1BEA066E}"/>
            </a:ext>
          </a:extLst>
        </xdr:cNvPr>
        <xdr:cNvGrpSpPr/>
      </xdr:nvGrpSpPr>
      <xdr:grpSpPr>
        <a:xfrm>
          <a:off x="2571750" y="22385431"/>
          <a:ext cx="7463118" cy="466725"/>
          <a:chOff x="2828925" y="21012150"/>
          <a:chExt cx="6924675" cy="466725"/>
        </a:xfrm>
      </xdr:grpSpPr>
      <xdr:sp macro="" textlink="">
        <xdr:nvSpPr>
          <xdr:cNvPr id="2" name="Rectángulo 1">
            <a:extLst>
              <a:ext uri="{FF2B5EF4-FFF2-40B4-BE49-F238E27FC236}">
                <a16:creationId xmlns:a16="http://schemas.microsoft.com/office/drawing/2014/main" id="{123FFD2F-BD14-03FD-B00F-E9309CF796AA}"/>
              </a:ext>
            </a:extLst>
          </xdr:cNvPr>
          <xdr:cNvSpPr/>
        </xdr:nvSpPr>
        <xdr:spPr>
          <a:xfrm>
            <a:off x="2828925" y="21012150"/>
            <a:ext cx="6924675" cy="466725"/>
          </a:xfrm>
          <a:prstGeom prst="rect">
            <a:avLst/>
          </a:prstGeom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BO" sz="1100"/>
          </a:p>
        </xdr:txBody>
      </xdr:sp>
      <xdr:sp macro="" textlink="">
        <xdr:nvSpPr>
          <xdr:cNvPr id="3" name="Rectángulo 2">
            <a:extLst>
              <a:ext uri="{FF2B5EF4-FFF2-40B4-BE49-F238E27FC236}">
                <a16:creationId xmlns:a16="http://schemas.microsoft.com/office/drawing/2014/main" id="{0BBDE316-6B37-7D30-1BE8-99A59C9F7E0B}"/>
              </a:ext>
            </a:extLst>
          </xdr:cNvPr>
          <xdr:cNvSpPr/>
        </xdr:nvSpPr>
        <xdr:spPr>
          <a:xfrm>
            <a:off x="3548442" y="21052891"/>
            <a:ext cx="5438027" cy="405432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es-MX" sz="2000" b="0" cap="none" spc="0">
                <a:ln w="0"/>
                <a:solidFill>
                  <a:srgbClr val="FFFF00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TABLAS</a:t>
            </a:r>
            <a:r>
              <a:rPr lang="es-MX" sz="2000" b="0" cap="none" spc="0" baseline="0">
                <a:ln w="0"/>
                <a:solidFill>
                  <a:srgbClr val="FFFF00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 DINÁMICAS CON FORMATO CONDICIONAL</a:t>
            </a:r>
            <a:endParaRPr lang="es-MX" sz="2000" b="0" cap="none" spc="0">
              <a:ln w="0"/>
              <a:solidFill>
                <a:srgbClr val="FFFF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</xdr:grpSp>
    <xdr:clientData/>
  </xdr:twoCellAnchor>
  <xdr:oneCellAnchor>
    <xdr:from>
      <xdr:col>15</xdr:col>
      <xdr:colOff>328926</xdr:colOff>
      <xdr:row>0</xdr:row>
      <xdr:rowOff>0</xdr:rowOff>
    </xdr:from>
    <xdr:ext cx="2125161" cy="342851"/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8889574F-75E2-E0A5-EBE0-C07B94E545EB}"/>
            </a:ext>
          </a:extLst>
        </xdr:cNvPr>
        <xdr:cNvSpPr/>
      </xdr:nvSpPr>
      <xdr:spPr>
        <a:xfrm>
          <a:off x="15131897" y="0"/>
          <a:ext cx="2125161" cy="342851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txBody>
        <a:bodyPr wrap="square" lIns="91440" tIns="45720" rIns="91440" bIns="45720">
          <a:spAutoFit/>
        </a:bodyPr>
        <a:lstStyle/>
        <a:p>
          <a:pPr algn="ctr"/>
          <a:r>
            <a:rPr lang="es-MX" sz="16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BUSCARV</a:t>
          </a:r>
          <a:endParaRPr lang="es-MX" sz="20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18</xdr:col>
      <xdr:colOff>100852</xdr:colOff>
      <xdr:row>0</xdr:row>
      <xdr:rowOff>0</xdr:rowOff>
    </xdr:from>
    <xdr:ext cx="2125161" cy="342851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2372CA51-1EB8-4AB0-936E-40CAD09D9FF9}"/>
            </a:ext>
          </a:extLst>
        </xdr:cNvPr>
        <xdr:cNvSpPr/>
      </xdr:nvSpPr>
      <xdr:spPr>
        <a:xfrm>
          <a:off x="18433676" y="0"/>
          <a:ext cx="2125161" cy="342851"/>
        </a:xfrm>
        <a:prstGeom prst="rect">
          <a:avLst/>
        </a:prstGeom>
        <a:solidFill>
          <a:schemeClr val="accent6">
            <a:lumMod val="50000"/>
          </a:schemeClr>
        </a:solidFill>
      </xdr:spPr>
      <xdr:txBody>
        <a:bodyPr wrap="square" lIns="91440" tIns="45720" rIns="91440" bIns="45720">
          <a:spAutoFit/>
        </a:bodyPr>
        <a:lstStyle/>
        <a:p>
          <a:pPr algn="ctr"/>
          <a:r>
            <a:rPr lang="es-MX" sz="1600" b="0" cap="none" spc="0">
              <a:ln w="0"/>
              <a:solidFill>
                <a:schemeClr val="accent6">
                  <a:lumMod val="20000"/>
                  <a:lumOff val="80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BUSCARX</a:t>
          </a:r>
          <a:endParaRPr lang="es-MX" sz="2000" b="0" cap="none" spc="0">
            <a:ln w="0"/>
            <a:solidFill>
              <a:schemeClr val="accent6">
                <a:lumMod val="20000"/>
                <a:lumOff val="80000"/>
              </a:schemeClr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vi" refreshedDate="46244.495487615743" createdVersion="8" refreshedVersion="8" minRefreshableVersion="3" recordCount="52" xr:uid="{3C30C92D-8B66-4763-9921-5B0C0217FA2D}">
  <cacheSource type="worksheet">
    <worksheetSource name="Tabla2"/>
  </cacheSource>
  <cacheFields count="11">
    <cacheField name="Código de Caja" numFmtId="0">
      <sharedItems count="41">
        <s v="CJ-RH-001"/>
        <s v="CJ-FI-001"/>
        <s v="CJ-LE-001"/>
        <s v="CJ-RH-002"/>
        <s v="CJ-LO-001"/>
        <s v="CJ-FI-002"/>
        <s v="CJ-LE-002"/>
        <s v="CJ-LO-002"/>
        <s v="CJ-FI-003"/>
        <s v="CJ-RH-003"/>
        <s v="CJ-LE-003"/>
        <s v="CJ-LO-003"/>
        <s v="CJ-FI-004"/>
        <s v="CJ-RH-004"/>
        <s v="CJ-LE-004"/>
        <s v="CJ-FI-005"/>
        <s v="CJ-LO-004"/>
        <s v="CJ-LE-005"/>
        <s v="CJ-FI-006"/>
        <s v="CJ-RH-005"/>
        <s v="CJ-LO-005"/>
        <s v="CJ-RH-006"/>
        <s v="CJ-FI-007"/>
        <s v="CJ-LO-006"/>
        <s v="CJ-LE-006"/>
        <s v="CJ-FI-008"/>
        <s v="CJ-LO-007"/>
        <s v="CJ-LE-007"/>
        <s v="CJ-RH-007"/>
        <s v="CJ-FI-009"/>
        <s v="CJ-LE-008"/>
        <s v="CJ-RH-008"/>
        <s v="CJ-FI-010"/>
        <s v="CJ-LO-008"/>
        <s v="CJ-LE-009"/>
        <s v="CJ-RH-009"/>
        <s v="CJ-LO-009"/>
        <s v="CJ-FI-011"/>
        <s v="CJ-LE-010"/>
        <s v="CJ-RH-010"/>
        <s v="CJ-LO-010"/>
      </sharedItems>
    </cacheField>
    <cacheField name="Área de Origen" numFmtId="0">
      <sharedItems count="4">
        <s v="Recursos Humanos"/>
        <s v="Finanzas"/>
        <s v="Legal"/>
        <s v="Logística"/>
      </sharedItems>
    </cacheField>
    <cacheField name="Serie Documental" numFmtId="0">
      <sharedItems count="41">
        <s v="Expedientes Laborales"/>
        <s v="Facturas de Compra"/>
        <s v="Contratos de Servicios"/>
        <s v="Planillas de Sueldos"/>
        <s v="Guías de Remisión"/>
        <s v="Informes Tributarios"/>
        <s v="Actas de Directorio"/>
        <s v="Control de Almacén"/>
        <s v="Recibos de Caja"/>
        <s v="Memorándums"/>
        <s v="Procesos Judiciales"/>
        <s v="Órdenes de Compra"/>
        <s v="Balances Generales"/>
        <s v="Evaluaciones"/>
        <s v="Poderes Notariales"/>
        <s v="Conciliaciones"/>
        <s v="Inventario Físico"/>
        <s v="Auditorías Legales"/>
        <s v="Extractos Bancarios"/>
        <s v="Contratos Personal"/>
        <s v="Reportes de Distribución"/>
        <s v="Registro de Asistencia"/>
        <s v="Presupuestos"/>
        <s v="Control de Combustible"/>
        <s v="Propiedad Intelectual"/>
        <s v="Comprobantes de Egreso"/>
        <s v="Mantenimiento Vehículos"/>
        <s v="Convenios Institucionales"/>
        <s v="Legajos Técnicos"/>
        <s v="Libros IVA"/>
        <s v="Correspondencia Recibida"/>
        <s v="Altas y Bajas Seguro"/>
        <s v="Declaraciones Juradas"/>
        <s v="Hojas de Ruta"/>
        <s v="Actas de Conformidad"/>
        <s v="Reclutamiento"/>
        <s v="Salida de Materiales"/>
        <s v="Auditorías Internas"/>
        <s v="Títulos de Propiedad"/>
        <s v="Capacitaciones"/>
        <s v="Cartas de Porte"/>
      </sharedItems>
    </cacheField>
    <cacheField name="Año / Gestión" numFmtId="0">
      <sharedItems containsSemiMixedTypes="0" containsString="0" containsNumber="1" containsInteger="1" minValue="2022" maxValue="2025" count="4">
        <n v="2024"/>
        <n v="2025"/>
        <n v="2023"/>
        <n v="2022"/>
      </sharedItems>
    </cacheField>
    <cacheField name="N° de Carpetas" numFmtId="0">
      <sharedItems containsSemiMixedTypes="0" containsString="0" containsNumber="1" containsInteger="1" minValue="2" maxValue="22"/>
    </cacheField>
    <cacheField name="Estado" numFmtId="0">
      <sharedItems count="3">
        <s v="Completo"/>
        <s v="En Revisión"/>
        <s v="Incompleto"/>
      </sharedItems>
    </cacheField>
    <cacheField name="auditoria automatica" numFmtId="0">
      <sharedItems/>
    </cacheField>
    <cacheField name="Columna1" numFmtId="0">
      <sharedItems/>
    </cacheField>
    <cacheField name="Columna2" numFmtId="0">
      <sharedItems count="2">
        <s v="custodia activa"/>
        <s v="transferir a historco"/>
      </sharedItems>
    </cacheField>
    <cacheField name="Columna3" numFmtId="0">
      <sharedItems/>
    </cacheField>
    <cacheField name="Columna4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x v="0"/>
    <x v="0"/>
    <x v="0"/>
    <x v="0"/>
    <n v="12"/>
    <x v="0"/>
    <s v="ok"/>
    <s v="CJ-RH-001-2024"/>
    <x v="0"/>
    <s v=""/>
    <s v="Re-CJ-RH-001"/>
  </r>
  <r>
    <x v="1"/>
    <x v="1"/>
    <x v="1"/>
    <x v="1"/>
    <n v="8"/>
    <x v="1"/>
    <s v="seguimiento"/>
    <s v="CJ-FI-001-2025"/>
    <x v="0"/>
    <s v=""/>
    <s v="Fi-CJ-FI-001"/>
  </r>
  <r>
    <x v="1"/>
    <x v="1"/>
    <x v="1"/>
    <x v="1"/>
    <n v="8"/>
    <x v="1"/>
    <s v="seguimiento"/>
    <s v="CJ-FI-001-2025"/>
    <x v="0"/>
    <s v=""/>
    <s v="Fi-CJ-FI-001"/>
  </r>
  <r>
    <x v="2"/>
    <x v="2"/>
    <x v="2"/>
    <x v="2"/>
    <n v="5"/>
    <x v="0"/>
    <s v="ok"/>
    <s v="CJ-LE-001-2023"/>
    <x v="1"/>
    <s v=""/>
    <s v="Le-CJ-LE-001"/>
  </r>
  <r>
    <x v="3"/>
    <x v="0"/>
    <x v="3"/>
    <x v="0"/>
    <n v="6"/>
    <x v="0"/>
    <s v="ok"/>
    <s v="CJ-RH-002-2024"/>
    <x v="0"/>
    <s v=""/>
    <s v="Re-CJ-RH-002"/>
  </r>
  <r>
    <x v="4"/>
    <x v="3"/>
    <x v="4"/>
    <x v="1"/>
    <n v="15"/>
    <x v="2"/>
    <s v="revisar urgente"/>
    <s v="CJ-LO-001-2025"/>
    <x v="0"/>
    <s v="URGENTE:  completar"/>
    <s v="Lo-CJ-LO-001"/>
  </r>
  <r>
    <x v="5"/>
    <x v="1"/>
    <x v="5"/>
    <x v="0"/>
    <n v="4"/>
    <x v="0"/>
    <s v="ok"/>
    <s v="CJ-FI-002-2024"/>
    <x v="0"/>
    <s v=""/>
    <s v="Fi-CJ-FI-002"/>
  </r>
  <r>
    <x v="5"/>
    <x v="1"/>
    <x v="5"/>
    <x v="0"/>
    <n v="4"/>
    <x v="0"/>
    <s v="ok"/>
    <s v="CJ-FI-002-2024"/>
    <x v="0"/>
    <s v=""/>
    <s v="Fi-CJ-FI-002"/>
  </r>
  <r>
    <x v="6"/>
    <x v="2"/>
    <x v="6"/>
    <x v="3"/>
    <n v="3"/>
    <x v="0"/>
    <s v="ok"/>
    <s v="CJ-LE-002-2022"/>
    <x v="1"/>
    <s v=""/>
    <s v="Le-CJ-LE-002"/>
  </r>
  <r>
    <x v="0"/>
    <x v="0"/>
    <x v="0"/>
    <x v="0"/>
    <n v="12"/>
    <x v="0"/>
    <s v="ok"/>
    <s v="CJ-RH-001-2024"/>
    <x v="0"/>
    <s v=""/>
    <s v="Re-CJ-RH-001"/>
  </r>
  <r>
    <x v="7"/>
    <x v="3"/>
    <x v="7"/>
    <x v="0"/>
    <n v="9"/>
    <x v="1"/>
    <s v="seguimiento"/>
    <s v="CJ-LO-002-2024"/>
    <x v="0"/>
    <s v=""/>
    <s v="Lo-CJ-LO-002"/>
  </r>
  <r>
    <x v="8"/>
    <x v="1"/>
    <x v="8"/>
    <x v="1"/>
    <n v="20"/>
    <x v="2"/>
    <s v="revisar urgente"/>
    <s v="CJ-FI-003-2025"/>
    <x v="0"/>
    <s v="URGENTE:  completar"/>
    <s v="Fi-CJ-FI-003"/>
  </r>
  <r>
    <x v="9"/>
    <x v="0"/>
    <x v="9"/>
    <x v="2"/>
    <n v="7"/>
    <x v="0"/>
    <s v="ok"/>
    <s v="CJ-RH-003-2023"/>
    <x v="1"/>
    <s v=""/>
    <s v="Re-CJ-RH-003"/>
  </r>
  <r>
    <x v="10"/>
    <x v="2"/>
    <x v="10"/>
    <x v="0"/>
    <n v="11"/>
    <x v="1"/>
    <s v="seguimiento"/>
    <s v="CJ-LE-003-2024"/>
    <x v="0"/>
    <s v=""/>
    <s v="Le-CJ-LE-003"/>
  </r>
  <r>
    <x v="11"/>
    <x v="3"/>
    <x v="11"/>
    <x v="1"/>
    <n v="14"/>
    <x v="0"/>
    <s v="ok"/>
    <s v="CJ-LO-003-2025"/>
    <x v="0"/>
    <s v=""/>
    <s v="Lo-CJ-LO-003"/>
  </r>
  <r>
    <x v="12"/>
    <x v="1"/>
    <x v="12"/>
    <x v="2"/>
    <n v="2"/>
    <x v="0"/>
    <s v="ok"/>
    <s v="CJ-FI-004-2023"/>
    <x v="1"/>
    <s v=""/>
    <s v="Fi-CJ-FI-004"/>
  </r>
  <r>
    <x v="12"/>
    <x v="1"/>
    <x v="12"/>
    <x v="2"/>
    <n v="2"/>
    <x v="0"/>
    <s v="ok"/>
    <s v="CJ-FI-004-2023"/>
    <x v="1"/>
    <s v=""/>
    <s v="Fi-CJ-FI-004"/>
  </r>
  <r>
    <x v="13"/>
    <x v="0"/>
    <x v="13"/>
    <x v="1"/>
    <n v="5"/>
    <x v="2"/>
    <s v="revisar urgente"/>
    <s v="CJ-RH-004-2025"/>
    <x v="0"/>
    <s v="URGENTE:  completar"/>
    <s v="Re-CJ-RH-004"/>
  </r>
  <r>
    <x v="4"/>
    <x v="3"/>
    <x v="4"/>
    <x v="1"/>
    <n v="15"/>
    <x v="2"/>
    <s v="revisar urgente"/>
    <s v="CJ-LO-001-2025"/>
    <x v="0"/>
    <s v="URGENTE:  completar"/>
    <s v="Lo-CJ-LO-001"/>
  </r>
  <r>
    <x v="14"/>
    <x v="2"/>
    <x v="14"/>
    <x v="3"/>
    <n v="6"/>
    <x v="0"/>
    <s v="ok"/>
    <s v="CJ-LE-004-2022"/>
    <x v="1"/>
    <s v=""/>
    <s v="Le-CJ-LE-004"/>
  </r>
  <r>
    <x v="15"/>
    <x v="1"/>
    <x v="15"/>
    <x v="0"/>
    <n v="10"/>
    <x v="0"/>
    <s v="ok"/>
    <s v="CJ-FI-005-2024"/>
    <x v="0"/>
    <s v=""/>
    <s v="Fi-CJ-FI-005"/>
  </r>
  <r>
    <x v="3"/>
    <x v="0"/>
    <x v="3"/>
    <x v="0"/>
    <n v="6"/>
    <x v="0"/>
    <s v="ok"/>
    <s v="CJ-RH-002-2024"/>
    <x v="0"/>
    <s v=""/>
    <s v="Re-CJ-RH-002"/>
  </r>
  <r>
    <x v="16"/>
    <x v="3"/>
    <x v="16"/>
    <x v="0"/>
    <n v="8"/>
    <x v="1"/>
    <s v="seguimiento"/>
    <s v="CJ-LO-004-2024"/>
    <x v="0"/>
    <s v=""/>
    <s v="Lo-CJ-LO-004"/>
  </r>
  <r>
    <x v="17"/>
    <x v="2"/>
    <x v="17"/>
    <x v="2"/>
    <n v="4"/>
    <x v="0"/>
    <s v="ok"/>
    <s v="CJ-LE-005-2023"/>
    <x v="1"/>
    <s v=""/>
    <s v="Le-CJ-LE-005"/>
  </r>
  <r>
    <x v="18"/>
    <x v="1"/>
    <x v="18"/>
    <x v="1"/>
    <n v="18"/>
    <x v="0"/>
    <s v="ok"/>
    <s v="CJ-FI-006-2025"/>
    <x v="0"/>
    <s v=""/>
    <s v="Fi-CJ-FI-006"/>
  </r>
  <r>
    <x v="19"/>
    <x v="0"/>
    <x v="19"/>
    <x v="1"/>
    <n v="13"/>
    <x v="1"/>
    <s v="seguimiento"/>
    <s v="CJ-RH-005-2025"/>
    <x v="0"/>
    <s v=""/>
    <s v="Re-CJ-RH-005"/>
  </r>
  <r>
    <x v="20"/>
    <x v="3"/>
    <x v="20"/>
    <x v="0"/>
    <n v="7"/>
    <x v="0"/>
    <s v="ok"/>
    <s v="CJ-LO-005-2024"/>
    <x v="0"/>
    <s v=""/>
    <s v="Lo-CJ-LO-005"/>
  </r>
  <r>
    <x v="8"/>
    <x v="1"/>
    <x v="8"/>
    <x v="1"/>
    <n v="20"/>
    <x v="2"/>
    <s v="revisar urgente"/>
    <s v="CJ-FI-003-2025"/>
    <x v="0"/>
    <s v="URGENTE:  completar"/>
    <s v="Fi-CJ-FI-003"/>
  </r>
  <r>
    <x v="2"/>
    <x v="2"/>
    <x v="2"/>
    <x v="2"/>
    <n v="5"/>
    <x v="0"/>
    <s v="ok"/>
    <s v="CJ-LE-001-2023"/>
    <x v="1"/>
    <s v=""/>
    <s v="Le-CJ-LE-001"/>
  </r>
  <r>
    <x v="21"/>
    <x v="0"/>
    <x v="21"/>
    <x v="0"/>
    <n v="14"/>
    <x v="0"/>
    <s v="ok"/>
    <s v="CJ-RH-006-2024"/>
    <x v="0"/>
    <s v=""/>
    <s v="Re-CJ-RH-006"/>
  </r>
  <r>
    <x v="22"/>
    <x v="1"/>
    <x v="22"/>
    <x v="1"/>
    <n v="3"/>
    <x v="1"/>
    <s v="seguimiento"/>
    <s v="CJ-FI-007-2025"/>
    <x v="0"/>
    <s v=""/>
    <s v="Fi-CJ-FI-007"/>
  </r>
  <r>
    <x v="23"/>
    <x v="3"/>
    <x v="23"/>
    <x v="2"/>
    <n v="9"/>
    <x v="0"/>
    <s v="ok"/>
    <s v="CJ-LO-006-2023"/>
    <x v="1"/>
    <s v=""/>
    <s v="Lo-CJ-LO-006"/>
  </r>
  <r>
    <x v="24"/>
    <x v="2"/>
    <x v="24"/>
    <x v="0"/>
    <n v="2"/>
    <x v="0"/>
    <s v="ok"/>
    <s v="CJ-LE-006-2024"/>
    <x v="0"/>
    <s v=""/>
    <s v="Le-CJ-LE-006"/>
  </r>
  <r>
    <x v="9"/>
    <x v="0"/>
    <x v="9"/>
    <x v="2"/>
    <n v="7"/>
    <x v="0"/>
    <s v="ok"/>
    <s v="CJ-RH-003-2023"/>
    <x v="1"/>
    <s v=""/>
    <s v="Re-CJ-RH-003"/>
  </r>
  <r>
    <x v="25"/>
    <x v="1"/>
    <x v="25"/>
    <x v="0"/>
    <n v="22"/>
    <x v="0"/>
    <s v="ok"/>
    <s v="CJ-FI-008-2024"/>
    <x v="0"/>
    <s v=""/>
    <s v="Fi-CJ-FI-008"/>
  </r>
  <r>
    <x v="26"/>
    <x v="3"/>
    <x v="26"/>
    <x v="1"/>
    <n v="6"/>
    <x v="2"/>
    <s v="revisar urgente"/>
    <s v="CJ-LO-007-2025"/>
    <x v="0"/>
    <s v="URGENTE:  completar"/>
    <s v="Lo-CJ-LO-007"/>
  </r>
  <r>
    <x v="27"/>
    <x v="2"/>
    <x v="27"/>
    <x v="1"/>
    <n v="5"/>
    <x v="0"/>
    <s v="ok"/>
    <s v="CJ-LE-007-2025"/>
    <x v="0"/>
    <s v=""/>
    <s v="Le-CJ-LE-007"/>
  </r>
  <r>
    <x v="28"/>
    <x v="0"/>
    <x v="28"/>
    <x v="0"/>
    <n v="11"/>
    <x v="1"/>
    <s v="seguimiento"/>
    <s v="CJ-RH-007-2024"/>
    <x v="0"/>
    <s v=""/>
    <s v="Re-CJ-RH-007"/>
  </r>
  <r>
    <x v="29"/>
    <x v="1"/>
    <x v="29"/>
    <x v="2"/>
    <n v="12"/>
    <x v="0"/>
    <s v="ok"/>
    <s v="CJ-FI-009-2023"/>
    <x v="1"/>
    <s v=""/>
    <s v="Fi-CJ-FI-009"/>
  </r>
  <r>
    <x v="11"/>
    <x v="3"/>
    <x v="11"/>
    <x v="1"/>
    <n v="14"/>
    <x v="0"/>
    <s v="ok"/>
    <s v="CJ-LO-003-2025"/>
    <x v="0"/>
    <s v=""/>
    <s v="Lo-CJ-LO-003"/>
  </r>
  <r>
    <x v="30"/>
    <x v="2"/>
    <x v="30"/>
    <x v="0"/>
    <n v="8"/>
    <x v="0"/>
    <s v="ok"/>
    <s v="CJ-LE-008-2024"/>
    <x v="0"/>
    <s v=""/>
    <s v="Le-CJ-LE-008"/>
  </r>
  <r>
    <x v="31"/>
    <x v="0"/>
    <x v="31"/>
    <x v="1"/>
    <n v="10"/>
    <x v="0"/>
    <s v="ok"/>
    <s v="CJ-RH-008-2025"/>
    <x v="0"/>
    <s v=""/>
    <s v="Re-CJ-RH-008"/>
  </r>
  <r>
    <x v="32"/>
    <x v="1"/>
    <x v="32"/>
    <x v="0"/>
    <n v="4"/>
    <x v="0"/>
    <s v="ok"/>
    <s v="CJ-FI-010-2024"/>
    <x v="0"/>
    <s v=""/>
    <s v="Fi-CJ-FI-010"/>
  </r>
  <r>
    <x v="33"/>
    <x v="3"/>
    <x v="33"/>
    <x v="0"/>
    <n v="16"/>
    <x v="0"/>
    <s v="ok"/>
    <s v="CJ-LO-008-2024"/>
    <x v="0"/>
    <s v=""/>
    <s v="Lo-CJ-LO-008"/>
  </r>
  <r>
    <x v="32"/>
    <x v="1"/>
    <x v="32"/>
    <x v="0"/>
    <n v="4"/>
    <x v="0"/>
    <s v="ok"/>
    <s v="CJ-FI-010-2024"/>
    <x v="0"/>
    <s v=""/>
    <s v="Fi-CJ-FI-010"/>
  </r>
  <r>
    <x v="34"/>
    <x v="2"/>
    <x v="34"/>
    <x v="2"/>
    <n v="7"/>
    <x v="1"/>
    <s v="seguimiento"/>
    <s v="CJ-LE-009-2023"/>
    <x v="1"/>
    <s v=""/>
    <s v="Le-CJ-LE-009"/>
  </r>
  <r>
    <x v="35"/>
    <x v="0"/>
    <x v="35"/>
    <x v="2"/>
    <n v="9"/>
    <x v="0"/>
    <s v="ok"/>
    <s v="CJ-RH-009-2023"/>
    <x v="1"/>
    <s v=""/>
    <s v="Re-CJ-RH-009"/>
  </r>
  <r>
    <x v="36"/>
    <x v="3"/>
    <x v="36"/>
    <x v="1"/>
    <n v="11"/>
    <x v="2"/>
    <s v="revisar urgente"/>
    <s v="CJ-LO-009-2025"/>
    <x v="0"/>
    <s v="URGENTE:  completar"/>
    <s v="Lo-CJ-LO-009"/>
  </r>
  <r>
    <x v="37"/>
    <x v="1"/>
    <x v="37"/>
    <x v="3"/>
    <n v="5"/>
    <x v="0"/>
    <s v="ok"/>
    <s v="CJ-FI-011-2022"/>
    <x v="1"/>
    <s v=""/>
    <s v="Fi-CJ-FI-011"/>
  </r>
  <r>
    <x v="38"/>
    <x v="2"/>
    <x v="38"/>
    <x v="3"/>
    <n v="3"/>
    <x v="0"/>
    <s v="ok"/>
    <s v="CJ-LE-010-2022"/>
    <x v="1"/>
    <s v=""/>
    <s v="Le-CJ-LE-010"/>
  </r>
  <r>
    <x v="39"/>
    <x v="0"/>
    <x v="39"/>
    <x v="0"/>
    <n v="6"/>
    <x v="0"/>
    <s v="ok"/>
    <s v="CJ-RH-010-2024"/>
    <x v="0"/>
    <s v=""/>
    <s v="Re-CJ-RH-010"/>
  </r>
  <r>
    <x v="40"/>
    <x v="3"/>
    <x v="40"/>
    <x v="0"/>
    <n v="13"/>
    <x v="0"/>
    <s v="ok"/>
    <s v="CJ-LO-010-2024"/>
    <x v="0"/>
    <s v=""/>
    <s v="Lo-CJ-LO-0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30AD90-B41D-4682-B20C-47E88ADC1C0A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60:J65" firstHeaderRow="1" firstDataRow="1" firstDataCol="1"/>
  <pivotFields count="11">
    <pivotField showAll="0"/>
    <pivotField axis="axisRow" dataField="1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Área de Origen" fld="1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21FFB9-1752-47D5-86F4-50C96510A9ED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60:G66" firstHeaderRow="1" firstDataRow="2" firstDataCol="1" rowPageCount="1" colPageCount="1"/>
  <pivotFields count="11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axis="axisCol" showAll="0">
      <items count="5">
        <item x="3"/>
        <item x="2"/>
        <item x="0"/>
        <item x="1"/>
        <item t="default"/>
      </items>
    </pivotField>
    <pivotField dataField="1"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pageFields count="1">
    <pageField fld="8" item="1" hier="-1"/>
  </pageFields>
  <dataFields count="1">
    <dataField name="Suma de N° de Carpeta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D45F29-CD4F-4C2F-A69C-9B85AF3C6CD1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O81:S124" firstHeaderRow="1" firstDataRow="2" firstDataCol="1"/>
  <pivotFields count="11">
    <pivotField showAll="0"/>
    <pivotField showAll="0"/>
    <pivotField axis="axisRow" showAll="0">
      <items count="42">
        <item x="34"/>
        <item x="6"/>
        <item x="31"/>
        <item x="37"/>
        <item x="17"/>
        <item x="12"/>
        <item x="39"/>
        <item x="40"/>
        <item x="25"/>
        <item x="15"/>
        <item x="2"/>
        <item x="19"/>
        <item x="7"/>
        <item x="23"/>
        <item x="27"/>
        <item x="30"/>
        <item x="32"/>
        <item x="13"/>
        <item x="0"/>
        <item x="18"/>
        <item x="1"/>
        <item x="4"/>
        <item x="33"/>
        <item x="5"/>
        <item x="16"/>
        <item x="28"/>
        <item x="29"/>
        <item x="26"/>
        <item x="9"/>
        <item x="11"/>
        <item x="3"/>
        <item x="14"/>
        <item x="22"/>
        <item x="10"/>
        <item x="24"/>
        <item x="8"/>
        <item x="35"/>
        <item x="21"/>
        <item x="20"/>
        <item x="36"/>
        <item x="38"/>
        <item t="default"/>
      </items>
    </pivotField>
    <pivotField showAll="0"/>
    <pivotField dataField="1"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a de N° de Carpetas" fld="4" baseField="0" baseItem="0"/>
  </dataFields>
  <conditionalFormats count="2">
    <conditionalFormat scope="field" priority="3">
      <pivotAreas count="1">
        <pivotArea outline="0" collapsedLevelsAreSubtotals="1" fieldPosition="0">
          <references count="3">
            <reference field="4294967294" count="1" selected="0">
              <x v="0"/>
            </reference>
            <reference field="2" count="0" selected="0"/>
            <reference field="5" count="0" selected="0"/>
          </references>
        </pivotArea>
      </pivotAreas>
    </conditionalFormat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803C51-F5AB-4F16-AFCF-52CEE693A397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81:M124" firstHeaderRow="1" firstDataRow="2" firstDataCol="1"/>
  <pivotFields count="11">
    <pivotField showAll="0">
      <items count="42">
        <item x="1"/>
        <item x="5"/>
        <item x="8"/>
        <item x="12"/>
        <item x="15"/>
        <item x="18"/>
        <item x="22"/>
        <item x="25"/>
        <item x="29"/>
        <item x="32"/>
        <item x="37"/>
        <item x="2"/>
        <item x="6"/>
        <item x="10"/>
        <item x="14"/>
        <item x="17"/>
        <item x="24"/>
        <item x="27"/>
        <item x="30"/>
        <item x="34"/>
        <item x="38"/>
        <item x="4"/>
        <item x="7"/>
        <item x="11"/>
        <item x="16"/>
        <item x="20"/>
        <item x="23"/>
        <item x="26"/>
        <item x="33"/>
        <item x="36"/>
        <item x="40"/>
        <item x="0"/>
        <item x="3"/>
        <item x="9"/>
        <item x="13"/>
        <item x="19"/>
        <item x="21"/>
        <item x="28"/>
        <item x="31"/>
        <item x="35"/>
        <item x="39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axis="axisRow" showAll="0">
      <items count="42">
        <item x="34"/>
        <item x="6"/>
        <item x="31"/>
        <item x="37"/>
        <item x="17"/>
        <item x="12"/>
        <item x="39"/>
        <item x="40"/>
        <item x="25"/>
        <item x="15"/>
        <item x="2"/>
        <item x="19"/>
        <item x="7"/>
        <item x="23"/>
        <item x="27"/>
        <item x="30"/>
        <item x="32"/>
        <item x="13"/>
        <item x="0"/>
        <item x="18"/>
        <item x="1"/>
        <item x="4"/>
        <item x="33"/>
        <item x="5"/>
        <item x="16"/>
        <item x="28"/>
        <item x="29"/>
        <item x="26"/>
        <item x="9"/>
        <item x="11"/>
        <item x="3"/>
        <item x="14"/>
        <item x="22"/>
        <item x="10"/>
        <item x="24"/>
        <item x="8"/>
        <item x="35"/>
        <item x="21"/>
        <item x="20"/>
        <item x="36"/>
        <item x="38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dataField="1"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a de N° de Carpetas" fld="4" baseField="0" baseItem="0"/>
  </dataFields>
  <conditionalFormats count="1">
    <conditionalFormat scope="data" priority="4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6FB536-1EE9-42FF-B584-DFA95E46986F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73:J78" firstHeaderRow="1" firstDataRow="1" firstDataCol="1"/>
  <pivotFields count="11">
    <pivotField showAll="0"/>
    <pivotField axis="axisRow" showAll="0" sortType="descending">
      <items count="5"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3"/>
        <item x="2"/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2"/>
    </i>
    <i>
      <x v="3"/>
    </i>
    <i>
      <x v="1"/>
    </i>
    <i t="grand">
      <x/>
    </i>
  </rowItems>
  <colItems count="1">
    <i/>
  </colItems>
  <dataFields count="1">
    <dataField name="Suma de N° de Carpetas" fld="4" baseField="0" baseItem="0"/>
  </dataFields>
  <conditionalFormats count="1">
    <conditionalFormat scope="field" priority="6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1" count="0" selected="0"/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F73928-C5AF-40A2-9B87-B663BE5C357E}" name="TablaDinámica3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D73:E88" firstHeaderRow="1" firstDataRow="1" firstDataCol="1"/>
  <pivotFields count="11">
    <pivotField showAll="0" defaultSubtotal="0"/>
    <pivotField axis="axisRow" showAll="0" defaultSubtotal="0">
      <items count="4">
        <item x="1"/>
        <item x="2"/>
        <item x="3"/>
        <item x="0"/>
      </items>
    </pivotField>
    <pivotField showAll="0" defaultSubtotal="0"/>
    <pivotField showAll="0" defaultSubtotal="0"/>
    <pivotField dataField="1" showAll="0" defaultSubtotal="0"/>
    <pivotField axis="axisRow" showAll="0" defaultSubtotal="0">
      <items count="3">
        <item x="0"/>
        <item x="1"/>
        <item x="2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2">
    <field x="1"/>
    <field x="5"/>
  </rowFields>
  <rowItems count="15">
    <i>
      <x/>
    </i>
    <i r="1">
      <x/>
    </i>
    <i r="1">
      <x v="1"/>
    </i>
    <i r="1">
      <x v="2"/>
    </i>
    <i>
      <x v="1"/>
    </i>
    <i r="1">
      <x/>
    </i>
    <i r="1">
      <x v="1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</rowItems>
  <colItems count="1">
    <i/>
  </colItems>
  <dataFields count="1">
    <dataField name="Suma de N° de Carpetas" fld="4" baseField="0" baseItem="0"/>
  </dataFields>
  <conditionalFormats count="1">
    <conditionalFormat scope="field" priority="7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5" count="0" selected="0"/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236265-209B-4FEE-8971-597B1321F5EF}" name="SUELDOS" displayName="SUELDOS" ref="D8:G18" totalsRowShown="0" headerRowDxfId="22" headerRowBorderDxfId="21" tableBorderDxfId="20" totalsRowBorderDxfId="19">
  <autoFilter ref="D8:G18" xr:uid="{B9236265-209B-4FEE-8971-597B1321F5EF}"/>
  <tableColumns count="4">
    <tableColumn id="1" xr3:uid="{077A445E-3847-414C-A23F-F3D479557765}" name="Ciudad" dataDxfId="18"/>
    <tableColumn id="2" xr3:uid="{A8C375B3-7C7A-4ED4-AF65-DE7EE5755A01}" name="Departamento" dataDxfId="17"/>
    <tableColumn id="3" xr3:uid="{4D2BD708-6A9B-4661-9DC1-1E9A7244F732}" name="Apellido" dataDxfId="16"/>
    <tableColumn id="4" xr3:uid="{1E09BB97-D225-4DEF-A76A-DE235642C76F}" name="Sueldo (BOB)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9605A2-913C-4C7E-8D0C-BD84CCB05800}" name="Tabla2" displayName="Tabla2" ref="D3:N55" totalsRowShown="0" dataDxfId="12" tableBorderDxfId="11">
  <autoFilter ref="D3:N55" xr:uid="{089605A2-913C-4C7E-8D0C-BD84CCB05800}"/>
  <tableColumns count="11">
    <tableColumn id="1" xr3:uid="{077BEF4C-8AF9-49E7-B29B-3F45C72FF2D7}" name="Código de Caja" dataDxfId="10"/>
    <tableColumn id="2" xr3:uid="{D65524BA-8B20-4F5E-8437-988BA7DE3CC9}" name="Área de Origen" dataDxfId="9"/>
    <tableColumn id="3" xr3:uid="{4BC8455F-0E91-4400-B66C-AD95E7A3CED4}" name="Serie Documental" dataDxfId="8"/>
    <tableColumn id="4" xr3:uid="{44D18AD9-8475-4DFD-9FAA-E816CD4829AE}" name="Año / Gestión" dataDxfId="7"/>
    <tableColumn id="5" xr3:uid="{FBE3C1A3-7ECB-4A3A-82C3-753146D4EE66}" name="N° de Carpetas" dataDxfId="6"/>
    <tableColumn id="6" xr3:uid="{047ED684-6E59-4FD3-A88B-E497186A733C}" name="Estado" dataDxfId="5"/>
    <tableColumn id="7" xr3:uid="{47C381FA-5CCB-4DCC-86E5-78126150D1D4}" name="auditoria automatica" dataDxfId="4">
      <calculatedColumnFormula>IF(I4="incompleto", "revisar urgente", IF(I4="en revisión", "seguimiento", IF(I4="completo", "ok")))</calculatedColumnFormula>
    </tableColumn>
    <tableColumn id="8" xr3:uid="{11E4BB78-7C00-471D-A929-A7EB6A046976}" name="Columna1" dataDxfId="3">
      <calculatedColumnFormula>D4 &amp; "-" &amp; G4</calculatedColumnFormula>
    </tableColumn>
    <tableColumn id="9" xr3:uid="{B6813A7D-81EE-4C7A-821C-BF4BECE25D68}" name="Columna2" dataDxfId="2">
      <calculatedColumnFormula>IF(G4&lt;=2023, "transferir a historco", "custodia activa")</calculatedColumnFormula>
    </tableColumn>
    <tableColumn id="10" xr3:uid="{37AAD098-E72E-4527-AD19-BCACC02185B1}" name="Columna3" dataDxfId="1">
      <calculatedColumnFormula>IF(IF(G4=2025, I4="Incompleto"), "URGENTE:  completar","")</calculatedColumnFormula>
    </tableColumn>
    <tableColumn id="11" xr3:uid="{9D083CA2-B533-4B6A-9023-1BA73CCEEE10}" name="Columna4" dataDxfId="0">
      <calculatedColumnFormula>LEFT(E4,2) &amp; "-" &amp; D4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B4432-D4EC-493C-BE49-4D9D5E7B2FCD}">
  <dimension ref="E6:J11"/>
  <sheetViews>
    <sheetView workbookViewId="0">
      <selection activeCell="E7" sqref="E7:J11"/>
    </sheetView>
  </sheetViews>
  <sheetFormatPr baseColWidth="10" defaultRowHeight="15" x14ac:dyDescent="0.25"/>
  <sheetData>
    <row r="6" spans="5:10" ht="15.75" thickBot="1" x14ac:dyDescent="0.3"/>
    <row r="7" spans="5:10" x14ac:dyDescent="0.25">
      <c r="E7" s="2"/>
      <c r="F7" s="3"/>
      <c r="G7" s="3"/>
      <c r="H7" s="3"/>
      <c r="I7" s="3"/>
      <c r="J7" s="4"/>
    </row>
    <row r="8" spans="5:10" x14ac:dyDescent="0.25">
      <c r="E8" s="5" t="s">
        <v>0</v>
      </c>
      <c r="F8" s="1"/>
      <c r="G8" s="1"/>
      <c r="H8" s="1"/>
      <c r="I8" s="1"/>
      <c r="J8" s="6"/>
    </row>
    <row r="9" spans="5:10" x14ac:dyDescent="0.25">
      <c r="E9" s="5"/>
      <c r="F9" s="1"/>
      <c r="G9" s="1"/>
      <c r="H9" s="1" t="s">
        <v>3</v>
      </c>
      <c r="I9" s="1"/>
      <c r="J9" s="6"/>
    </row>
    <row r="10" spans="5:10" x14ac:dyDescent="0.25">
      <c r="E10" s="5"/>
      <c r="F10" s="1" t="s">
        <v>1</v>
      </c>
      <c r="G10" s="1"/>
      <c r="H10" s="1" t="s">
        <v>2</v>
      </c>
      <c r="I10" s="1"/>
      <c r="J10" s="6"/>
    </row>
    <row r="11" spans="5:10" ht="15.75" thickBot="1" x14ac:dyDescent="0.3">
      <c r="E11" s="7"/>
      <c r="F11" s="8"/>
      <c r="G11" s="8"/>
      <c r="H11" s="8" t="s">
        <v>3</v>
      </c>
      <c r="I11" s="8"/>
      <c r="J11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769B-E080-46B8-B647-E8577361ED47}">
  <dimension ref="A1"/>
  <sheetViews>
    <sheetView workbookViewId="0">
      <selection activeCell="E14" sqref="E1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A104B-1AA6-4C5E-9ED2-F96C0711DB70}">
  <dimension ref="C3:O31"/>
  <sheetViews>
    <sheetView showGridLines="0" topLeftCell="B7" zoomScale="145" zoomScaleNormal="145" workbookViewId="0">
      <selection activeCell="K16" sqref="K16"/>
    </sheetView>
  </sheetViews>
  <sheetFormatPr baseColWidth="10" defaultRowHeight="15" x14ac:dyDescent="0.25"/>
  <cols>
    <col min="4" max="4" width="21" customWidth="1"/>
    <col min="5" max="5" width="0.28515625" style="11" customWidth="1"/>
    <col min="6" max="6" width="40.42578125" customWidth="1"/>
    <col min="7" max="7" width="0.28515625" style="11" customWidth="1"/>
    <col min="8" max="8" width="16.28515625" customWidth="1"/>
    <col min="9" max="9" width="0.28515625" style="11" customWidth="1"/>
    <col min="10" max="10" width="30.7109375" customWidth="1"/>
  </cols>
  <sheetData>
    <row r="3" spans="4:15" ht="15.75" thickBot="1" x14ac:dyDescent="0.3"/>
    <row r="4" spans="4:15" x14ac:dyDescent="0.25">
      <c r="D4" s="13"/>
      <c r="E4" s="31"/>
      <c r="F4" s="16"/>
      <c r="J4" s="93" t="s">
        <v>16</v>
      </c>
    </row>
    <row r="5" spans="4:15" x14ac:dyDescent="0.25">
      <c r="D5" s="14"/>
      <c r="E5" s="32"/>
      <c r="F5" s="17"/>
      <c r="J5" s="94"/>
    </row>
    <row r="6" spans="4:15" ht="15.75" thickBot="1" x14ac:dyDescent="0.3">
      <c r="D6" s="15"/>
      <c r="E6" s="33"/>
      <c r="F6" s="18"/>
      <c r="J6" s="95"/>
    </row>
    <row r="7" spans="4:15" x14ac:dyDescent="0.25">
      <c r="D7" s="13"/>
      <c r="E7" s="31"/>
      <c r="F7" s="16"/>
      <c r="J7" s="29"/>
    </row>
    <row r="8" spans="4:15" x14ac:dyDescent="0.25">
      <c r="D8" s="14"/>
      <c r="E8" s="32"/>
      <c r="F8" s="17"/>
      <c r="J8" s="19"/>
    </row>
    <row r="9" spans="4:15" ht="15.75" thickBot="1" x14ac:dyDescent="0.3">
      <c r="D9" s="14"/>
      <c r="E9" s="32"/>
      <c r="F9" s="17"/>
      <c r="J9" s="30"/>
    </row>
    <row r="10" spans="4:15" ht="15.75" thickBot="1" x14ac:dyDescent="0.3">
      <c r="D10" s="14"/>
      <c r="E10" s="32"/>
      <c r="F10" s="17"/>
      <c r="L10" s="10"/>
      <c r="M10" s="10"/>
      <c r="N10" s="10"/>
      <c r="O10" s="10"/>
    </row>
    <row r="11" spans="4:15" ht="15.75" thickBot="1" x14ac:dyDescent="0.3">
      <c r="D11" s="15"/>
      <c r="E11" s="33"/>
      <c r="F11" s="18"/>
      <c r="J11" s="34" t="s">
        <v>15</v>
      </c>
      <c r="L11" s="10"/>
      <c r="M11" s="10"/>
      <c r="N11" s="10"/>
      <c r="O11" s="10"/>
    </row>
    <row r="12" spans="4:15" ht="15.75" thickBot="1" x14ac:dyDescent="0.3">
      <c r="D12" s="105" t="s">
        <v>14</v>
      </c>
      <c r="E12" s="106"/>
      <c r="F12" s="107"/>
      <c r="J12" s="20"/>
      <c r="L12" s="10"/>
      <c r="M12" s="10"/>
      <c r="N12" s="10"/>
      <c r="O12" s="10"/>
    </row>
    <row r="13" spans="4:15" ht="15.75" thickBot="1" x14ac:dyDescent="0.3">
      <c r="L13" s="10"/>
      <c r="M13" s="10"/>
      <c r="N13" s="10"/>
      <c r="O13" s="10"/>
    </row>
    <row r="14" spans="4:15" ht="24.95" customHeight="1" thickBot="1" x14ac:dyDescent="0.3">
      <c r="D14" s="102" t="s">
        <v>4</v>
      </c>
      <c r="E14" s="103"/>
      <c r="F14" s="104"/>
      <c r="G14" s="11" t="s">
        <v>13</v>
      </c>
      <c r="H14" s="102" t="s">
        <v>13</v>
      </c>
      <c r="I14" s="103"/>
      <c r="J14" s="104"/>
      <c r="L14" s="10"/>
      <c r="M14" s="10"/>
      <c r="N14" s="10"/>
      <c r="O14" s="10"/>
    </row>
    <row r="15" spans="4:15" ht="15.75" thickBot="1" x14ac:dyDescent="0.3">
      <c r="L15" s="10"/>
      <c r="M15" s="10"/>
      <c r="N15" s="10"/>
      <c r="O15" s="10"/>
    </row>
    <row r="16" spans="4:15" ht="27.95" customHeight="1" thickBot="1" x14ac:dyDescent="0.3">
      <c r="D16" s="26" t="s">
        <v>5</v>
      </c>
      <c r="E16" s="27"/>
      <c r="F16" s="26" t="s">
        <v>6</v>
      </c>
      <c r="G16" s="27"/>
      <c r="H16" s="28" t="s">
        <v>7</v>
      </c>
      <c r="I16" s="27"/>
      <c r="J16" s="26" t="s">
        <v>8</v>
      </c>
      <c r="L16" s="10"/>
      <c r="M16" s="10"/>
      <c r="N16" s="10"/>
      <c r="O16" s="10"/>
    </row>
    <row r="17" spans="3:15" ht="24.95" customHeight="1" thickBot="1" x14ac:dyDescent="0.3">
      <c r="D17" s="21"/>
      <c r="E17" s="108"/>
      <c r="F17" s="109"/>
      <c r="G17" s="110"/>
      <c r="H17" s="111"/>
      <c r="I17" s="110"/>
      <c r="J17" s="111"/>
      <c r="L17" s="10"/>
      <c r="M17" s="10"/>
      <c r="N17" s="10"/>
      <c r="O17" s="10"/>
    </row>
    <row r="18" spans="3:15" ht="24.95" customHeight="1" thickBot="1" x14ac:dyDescent="0.3">
      <c r="D18" s="14"/>
      <c r="E18" s="110"/>
      <c r="F18" s="111"/>
      <c r="G18" s="112"/>
      <c r="H18" s="112"/>
      <c r="I18" s="110"/>
      <c r="J18" s="111"/>
      <c r="L18" s="10"/>
      <c r="M18" s="10"/>
      <c r="N18" s="10"/>
      <c r="O18" s="10"/>
    </row>
    <row r="19" spans="3:15" ht="24.95" customHeight="1" thickBot="1" x14ac:dyDescent="0.3">
      <c r="D19" s="21"/>
      <c r="E19" s="113"/>
      <c r="F19" s="114"/>
      <c r="G19" s="110"/>
      <c r="H19" s="111"/>
      <c r="I19" s="115"/>
      <c r="J19" s="116"/>
      <c r="L19" s="10"/>
      <c r="M19" s="10"/>
      <c r="N19" s="10"/>
      <c r="O19" s="10"/>
    </row>
    <row r="20" spans="3:15" ht="24.95" customHeight="1" thickBot="1" x14ac:dyDescent="0.3">
      <c r="D20" s="14"/>
      <c r="E20" s="110"/>
      <c r="F20" s="111"/>
      <c r="G20" s="112"/>
      <c r="H20" s="112"/>
      <c r="I20" s="110"/>
      <c r="J20" s="111"/>
      <c r="L20" s="10"/>
      <c r="M20" s="10"/>
      <c r="N20" s="10"/>
      <c r="O20" s="10"/>
    </row>
    <row r="21" spans="3:15" ht="24.95" customHeight="1" thickBot="1" x14ac:dyDescent="0.3">
      <c r="D21" s="21"/>
      <c r="E21" s="113"/>
      <c r="F21" s="114"/>
      <c r="G21" s="110"/>
      <c r="H21" s="111"/>
      <c r="I21" s="115"/>
      <c r="J21" s="116"/>
      <c r="L21" s="10"/>
      <c r="M21" s="10"/>
      <c r="N21" s="10"/>
      <c r="O21" s="10"/>
    </row>
    <row r="22" spans="3:15" ht="24.95" customHeight="1" thickBot="1" x14ac:dyDescent="0.3">
      <c r="D22" s="14"/>
      <c r="E22" s="110"/>
      <c r="F22" s="111"/>
      <c r="G22" s="112"/>
      <c r="H22" s="112"/>
      <c r="I22" s="110"/>
      <c r="J22" s="111"/>
      <c r="L22" s="10"/>
      <c r="M22" s="10"/>
      <c r="N22" s="10"/>
      <c r="O22" s="10"/>
    </row>
    <row r="23" spans="3:15" ht="24.95" customHeight="1" thickBot="1" x14ac:dyDescent="0.3">
      <c r="D23" s="21"/>
      <c r="E23" s="113"/>
      <c r="F23" s="114"/>
      <c r="G23" s="110"/>
      <c r="H23" s="111"/>
      <c r="I23" s="115"/>
      <c r="J23" s="116"/>
      <c r="L23" s="10"/>
      <c r="M23" s="10"/>
      <c r="N23" s="10"/>
      <c r="O23" s="10"/>
    </row>
    <row r="24" spans="3:15" ht="24.95" customHeight="1" thickBot="1" x14ac:dyDescent="0.3">
      <c r="D24" s="14"/>
      <c r="E24" s="110"/>
      <c r="F24" s="111"/>
      <c r="G24" s="112"/>
      <c r="H24" s="112"/>
      <c r="I24" s="110"/>
      <c r="J24" s="111"/>
      <c r="L24" s="10"/>
      <c r="M24" s="10"/>
      <c r="N24" s="10"/>
      <c r="O24" s="10"/>
    </row>
    <row r="25" spans="3:15" ht="24.95" customHeight="1" thickBot="1" x14ac:dyDescent="0.3">
      <c r="D25" s="21"/>
      <c r="E25" s="113"/>
      <c r="F25" s="114"/>
      <c r="G25" s="110"/>
      <c r="H25" s="111"/>
      <c r="I25" s="115"/>
      <c r="J25" s="116"/>
      <c r="L25" s="10"/>
      <c r="M25" s="10"/>
      <c r="N25" s="10"/>
      <c r="O25" s="10"/>
    </row>
    <row r="26" spans="3:15" ht="24.95" customHeight="1" thickBot="1" x14ac:dyDescent="0.3">
      <c r="C26" s="10"/>
      <c r="D26" s="23" t="s">
        <v>9</v>
      </c>
      <c r="E26" s="24"/>
      <c r="F26" s="121"/>
      <c r="G26" s="121"/>
      <c r="H26" s="121"/>
      <c r="I26" s="121"/>
      <c r="J26" s="122"/>
    </row>
    <row r="27" spans="3:15" s="117" customFormat="1" ht="2.1" customHeight="1" thickBot="1" x14ac:dyDescent="0.3"/>
    <row r="28" spans="3:15" ht="24.95" customHeight="1" thickBot="1" x14ac:dyDescent="0.3">
      <c r="C28" s="10"/>
      <c r="D28" s="22" t="s">
        <v>10</v>
      </c>
      <c r="E28" s="96"/>
      <c r="F28" s="97"/>
      <c r="G28" s="97"/>
      <c r="H28" s="97"/>
      <c r="I28" s="97"/>
      <c r="J28" s="98"/>
    </row>
    <row r="29" spans="3:15" s="12" customFormat="1" ht="2.1" customHeight="1" x14ac:dyDescent="0.25"/>
    <row r="30" spans="3:15" ht="24.95" customHeight="1" thickBot="1" x14ac:dyDescent="0.3">
      <c r="C30" s="10"/>
      <c r="D30" s="25" t="s">
        <v>11</v>
      </c>
      <c r="E30" s="99"/>
      <c r="F30" s="100"/>
      <c r="G30" s="100"/>
      <c r="H30" s="100"/>
      <c r="I30" s="100"/>
      <c r="J30" s="101"/>
    </row>
    <row r="31" spans="3:15" ht="24.95" customHeight="1" thickBot="1" x14ac:dyDescent="0.3">
      <c r="C31" s="10"/>
      <c r="D31" s="118" t="s">
        <v>12</v>
      </c>
      <c r="E31" s="119"/>
      <c r="F31" s="119"/>
      <c r="G31" s="119"/>
      <c r="H31" s="120"/>
      <c r="I31" s="123"/>
      <c r="J31" s="124"/>
    </row>
  </sheetData>
  <mergeCells count="37">
    <mergeCell ref="I17:J17"/>
    <mergeCell ref="I22:J22"/>
    <mergeCell ref="I20:J20"/>
    <mergeCell ref="D31:H31"/>
    <mergeCell ref="F26:J26"/>
    <mergeCell ref="E21:F21"/>
    <mergeCell ref="E19:F19"/>
    <mergeCell ref="I31:J31"/>
    <mergeCell ref="G17:H17"/>
    <mergeCell ref="G19:H19"/>
    <mergeCell ref="G21:H21"/>
    <mergeCell ref="G23:H23"/>
    <mergeCell ref="G25:H25"/>
    <mergeCell ref="G24:H24"/>
    <mergeCell ref="I25:J25"/>
    <mergeCell ref="I23:J23"/>
    <mergeCell ref="I21:J21"/>
    <mergeCell ref="I24:J24"/>
    <mergeCell ref="A27:XFD27"/>
    <mergeCell ref="I19:J19"/>
    <mergeCell ref="I18:J18"/>
    <mergeCell ref="J4:J6"/>
    <mergeCell ref="E28:J28"/>
    <mergeCell ref="E30:J30"/>
    <mergeCell ref="H14:J14"/>
    <mergeCell ref="D14:F14"/>
    <mergeCell ref="D12:F12"/>
    <mergeCell ref="E17:F17"/>
    <mergeCell ref="E24:F24"/>
    <mergeCell ref="E22:F22"/>
    <mergeCell ref="E20:F20"/>
    <mergeCell ref="E18:F18"/>
    <mergeCell ref="G22:H22"/>
    <mergeCell ref="G20:H20"/>
    <mergeCell ref="G18:H18"/>
    <mergeCell ref="E25:F25"/>
    <mergeCell ref="E23:F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51DF3-C018-41AB-8DAE-888736D2D436}">
  <dimension ref="D7:G18"/>
  <sheetViews>
    <sheetView topLeftCell="A6" zoomScale="145" zoomScaleNormal="145" workbookViewId="0">
      <selection activeCell="F11" sqref="F11"/>
    </sheetView>
  </sheetViews>
  <sheetFormatPr baseColWidth="10" defaultRowHeight="15" x14ac:dyDescent="0.25"/>
  <cols>
    <col min="4" max="4" width="14.140625" customWidth="1"/>
    <col min="5" max="5" width="17.28515625" customWidth="1"/>
    <col min="6" max="6" width="14.140625" customWidth="1"/>
    <col min="7" max="7" width="15.5703125" customWidth="1"/>
  </cols>
  <sheetData>
    <row r="7" spans="4:7" hidden="1" x14ac:dyDescent="0.25"/>
    <row r="8" spans="4:7" ht="34.5" customHeight="1" x14ac:dyDescent="0.25">
      <c r="D8" s="41" t="s">
        <v>17</v>
      </c>
      <c r="E8" s="42" t="s">
        <v>18</v>
      </c>
      <c r="F8" s="42" t="s">
        <v>19</v>
      </c>
      <c r="G8" s="43" t="s">
        <v>20</v>
      </c>
    </row>
    <row r="9" spans="4:7" ht="19.5" customHeight="1" x14ac:dyDescent="0.25">
      <c r="D9" s="36" t="s">
        <v>21</v>
      </c>
      <c r="E9" s="35" t="s">
        <v>22</v>
      </c>
      <c r="F9" s="35" t="s">
        <v>23</v>
      </c>
      <c r="G9" s="37">
        <v>5.5</v>
      </c>
    </row>
    <row r="10" spans="4:7" ht="19.5" customHeight="1" x14ac:dyDescent="0.25">
      <c r="D10" s="36" t="s">
        <v>24</v>
      </c>
      <c r="E10" s="35" t="s">
        <v>25</v>
      </c>
      <c r="F10" s="35" t="s">
        <v>26</v>
      </c>
      <c r="G10" s="37">
        <v>6.2</v>
      </c>
    </row>
    <row r="11" spans="4:7" ht="19.5" customHeight="1" x14ac:dyDescent="0.25">
      <c r="D11" s="36" t="s">
        <v>27</v>
      </c>
      <c r="E11" s="35" t="s">
        <v>28</v>
      </c>
      <c r="F11" s="35" t="s">
        <v>29</v>
      </c>
      <c r="G11" s="37">
        <v>7</v>
      </c>
    </row>
    <row r="12" spans="4:7" ht="19.5" customHeight="1" x14ac:dyDescent="0.25">
      <c r="D12" s="36" t="s">
        <v>30</v>
      </c>
      <c r="E12" s="35" t="s">
        <v>31</v>
      </c>
      <c r="F12" s="35" t="s">
        <v>32</v>
      </c>
      <c r="G12" s="37">
        <v>5.8</v>
      </c>
    </row>
    <row r="13" spans="4:7" ht="19.5" customHeight="1" x14ac:dyDescent="0.25">
      <c r="D13" s="36" t="s">
        <v>33</v>
      </c>
      <c r="E13" s="35" t="s">
        <v>34</v>
      </c>
      <c r="F13" s="35" t="s">
        <v>35</v>
      </c>
      <c r="G13" s="37">
        <v>4.5</v>
      </c>
    </row>
    <row r="14" spans="4:7" ht="19.5" customHeight="1" x14ac:dyDescent="0.25">
      <c r="D14" s="36" t="s">
        <v>36</v>
      </c>
      <c r="E14" s="35" t="s">
        <v>37</v>
      </c>
      <c r="F14" s="35" t="s">
        <v>38</v>
      </c>
      <c r="G14" s="37">
        <v>8</v>
      </c>
    </row>
    <row r="15" spans="4:7" ht="19.5" customHeight="1" x14ac:dyDescent="0.25">
      <c r="D15" s="36" t="s">
        <v>39</v>
      </c>
      <c r="E15" s="35" t="s">
        <v>40</v>
      </c>
      <c r="F15" s="35" t="s">
        <v>41</v>
      </c>
      <c r="G15" s="37">
        <v>5</v>
      </c>
    </row>
    <row r="16" spans="4:7" ht="19.5" customHeight="1" x14ac:dyDescent="0.25">
      <c r="D16" s="36" t="s">
        <v>42</v>
      </c>
      <c r="E16" s="35" t="s">
        <v>43</v>
      </c>
      <c r="F16" s="35" t="s">
        <v>44</v>
      </c>
      <c r="G16" s="37">
        <v>4.8</v>
      </c>
    </row>
    <row r="17" spans="4:7" ht="19.5" customHeight="1" x14ac:dyDescent="0.25">
      <c r="D17" s="36" t="s">
        <v>45</v>
      </c>
      <c r="E17" s="35" t="s">
        <v>46</v>
      </c>
      <c r="F17" s="35" t="s">
        <v>47</v>
      </c>
      <c r="G17" s="37">
        <v>5.3</v>
      </c>
    </row>
    <row r="18" spans="4:7" ht="19.5" customHeight="1" x14ac:dyDescent="0.25">
      <c r="D18" s="38" t="s">
        <v>48</v>
      </c>
      <c r="E18" s="39" t="s">
        <v>25</v>
      </c>
      <c r="F18" s="39" t="s">
        <v>49</v>
      </c>
      <c r="G18" s="40">
        <v>6.2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51205-5600-4752-8B1B-0078B6DFEBD1}">
  <dimension ref="D8:G27"/>
  <sheetViews>
    <sheetView topLeftCell="A6" zoomScale="145" zoomScaleNormal="145" workbookViewId="0">
      <selection activeCell="G14" sqref="G14"/>
    </sheetView>
  </sheetViews>
  <sheetFormatPr baseColWidth="10" defaultRowHeight="15" x14ac:dyDescent="0.25"/>
  <cols>
    <col min="4" max="4" width="15" customWidth="1"/>
    <col min="5" max="5" width="23.85546875" bestFit="1" customWidth="1"/>
    <col min="6" max="6" width="18.140625" bestFit="1" customWidth="1"/>
    <col min="7" max="7" width="25" bestFit="1" customWidth="1"/>
  </cols>
  <sheetData>
    <row r="8" spans="4:7" ht="26.25" customHeight="1" x14ac:dyDescent="0.25">
      <c r="D8" s="45" t="s">
        <v>50</v>
      </c>
      <c r="E8" s="45" t="s">
        <v>51</v>
      </c>
      <c r="F8" s="45" t="s">
        <v>52</v>
      </c>
      <c r="G8" s="45" t="s">
        <v>53</v>
      </c>
    </row>
    <row r="9" spans="4:7" x14ac:dyDescent="0.25">
      <c r="D9" s="44">
        <v>120012</v>
      </c>
      <c r="E9" s="11">
        <v>120012</v>
      </c>
      <c r="F9" s="46">
        <v>120012</v>
      </c>
      <c r="G9" s="47">
        <v>120012</v>
      </c>
    </row>
    <row r="10" spans="4:7" x14ac:dyDescent="0.25">
      <c r="D10" s="44">
        <v>323333</v>
      </c>
      <c r="E10" s="11">
        <v>323333</v>
      </c>
      <c r="F10" s="46">
        <v>323333</v>
      </c>
      <c r="G10" s="47">
        <v>323333</v>
      </c>
    </row>
    <row r="11" spans="4:7" x14ac:dyDescent="0.25">
      <c r="D11" s="44">
        <v>-11000</v>
      </c>
      <c r="E11" s="49">
        <v>-11000</v>
      </c>
      <c r="F11" s="46">
        <v>-11000</v>
      </c>
      <c r="G11" s="50">
        <v>-11000</v>
      </c>
    </row>
    <row r="12" spans="4:7" x14ac:dyDescent="0.25">
      <c r="D12" s="44">
        <v>11222</v>
      </c>
      <c r="E12" s="11">
        <v>11222</v>
      </c>
      <c r="F12" s="46">
        <v>11222</v>
      </c>
      <c r="G12" s="47">
        <v>11222</v>
      </c>
    </row>
    <row r="13" spans="4:7" x14ac:dyDescent="0.25">
      <c r="D13" s="44"/>
      <c r="E13" s="11"/>
      <c r="F13" s="46"/>
      <c r="G13" s="47"/>
    </row>
    <row r="14" spans="4:7" x14ac:dyDescent="0.25">
      <c r="D14" s="59" t="s">
        <v>59</v>
      </c>
      <c r="E14" s="60" t="str">
        <f>D14</f>
        <v>000012</v>
      </c>
      <c r="F14" s="60" t="s">
        <v>60</v>
      </c>
      <c r="G14" s="60" t="s">
        <v>61</v>
      </c>
    </row>
    <row r="15" spans="4:7" x14ac:dyDescent="0.25">
      <c r="G15" s="48"/>
    </row>
    <row r="17" spans="4:7" x14ac:dyDescent="0.25">
      <c r="D17" s="125" t="s">
        <v>54</v>
      </c>
      <c r="E17" s="125"/>
      <c r="F17" s="125"/>
      <c r="G17" s="125"/>
    </row>
    <row r="18" spans="4:7" x14ac:dyDescent="0.25">
      <c r="D18" s="51">
        <v>44035</v>
      </c>
      <c r="E18" s="52">
        <f>D18</f>
        <v>44035</v>
      </c>
      <c r="F18" s="53">
        <f>D18</f>
        <v>44035</v>
      </c>
      <c r="G18" s="54">
        <f>D18</f>
        <v>44035</v>
      </c>
    </row>
    <row r="19" spans="4:7" x14ac:dyDescent="0.25">
      <c r="D19" s="51">
        <v>43587</v>
      </c>
      <c r="E19" s="52">
        <f t="shared" ref="E19:E20" si="0">D19</f>
        <v>43587</v>
      </c>
      <c r="F19" s="53">
        <f t="shared" ref="F19:F20" si="1">D19</f>
        <v>43587</v>
      </c>
      <c r="G19" s="54">
        <f t="shared" ref="G19:G20" si="2">D19</f>
        <v>43587</v>
      </c>
    </row>
    <row r="20" spans="4:7" x14ac:dyDescent="0.25">
      <c r="D20" s="51">
        <v>43312</v>
      </c>
      <c r="E20" s="52">
        <f t="shared" si="0"/>
        <v>43312</v>
      </c>
      <c r="F20" s="53">
        <f t="shared" si="1"/>
        <v>43312</v>
      </c>
      <c r="G20" s="54">
        <f t="shared" si="2"/>
        <v>43312</v>
      </c>
    </row>
    <row r="23" spans="4:7" x14ac:dyDescent="0.25">
      <c r="D23" s="126" t="s">
        <v>55</v>
      </c>
      <c r="E23" s="126"/>
      <c r="F23" s="126"/>
      <c r="G23" s="126"/>
    </row>
    <row r="24" spans="4:7" x14ac:dyDescent="0.25">
      <c r="D24" s="55" t="s">
        <v>50</v>
      </c>
      <c r="E24" s="55" t="s">
        <v>56</v>
      </c>
      <c r="F24" s="55" t="s">
        <v>57</v>
      </c>
      <c r="G24" s="55" t="s">
        <v>58</v>
      </c>
    </row>
    <row r="25" spans="4:7" x14ac:dyDescent="0.25">
      <c r="D25" s="1">
        <v>1245637892</v>
      </c>
      <c r="E25" s="56">
        <f>D25</f>
        <v>1245637892</v>
      </c>
      <c r="F25" s="57">
        <f>D25</f>
        <v>1245637892</v>
      </c>
      <c r="G25" s="58">
        <f>D25</f>
        <v>1245637892</v>
      </c>
    </row>
    <row r="26" spans="4:7" x14ac:dyDescent="0.25">
      <c r="D26" s="1">
        <v>5683231112</v>
      </c>
      <c r="E26" s="56">
        <f t="shared" ref="E26:E27" si="3">D26</f>
        <v>5683231112</v>
      </c>
      <c r="F26" s="57">
        <f t="shared" ref="F26:F27" si="4">D26</f>
        <v>5683231112</v>
      </c>
      <c r="G26" s="58">
        <f t="shared" ref="G26:G27" si="5">D26</f>
        <v>5683231112</v>
      </c>
    </row>
    <row r="27" spans="4:7" x14ac:dyDescent="0.25">
      <c r="D27" s="1">
        <v>4523232377</v>
      </c>
      <c r="E27" s="56">
        <f t="shared" si="3"/>
        <v>4523232377</v>
      </c>
      <c r="F27" s="57">
        <f t="shared" si="4"/>
        <v>4523232377</v>
      </c>
      <c r="G27" s="58">
        <f t="shared" si="5"/>
        <v>4523232377</v>
      </c>
    </row>
  </sheetData>
  <mergeCells count="2">
    <mergeCell ref="D17:G17"/>
    <mergeCell ref="D23:G23"/>
  </mergeCells>
  <pageMargins left="0.7" right="0.7" top="0.75" bottom="0.75" header="0.3" footer="0.3"/>
  <ignoredErrors>
    <ignoredError sqref="F14:G14 D1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A7293-DD29-4A7D-8C0F-97F2E867D388}">
  <dimension ref="D2:T165"/>
  <sheetViews>
    <sheetView tabSelected="1" topLeftCell="C1" zoomScale="85" zoomScaleNormal="85" workbookViewId="0">
      <selection activeCell="O8" sqref="O8"/>
    </sheetView>
  </sheetViews>
  <sheetFormatPr baseColWidth="10" defaultRowHeight="15" x14ac:dyDescent="0.25"/>
  <cols>
    <col min="4" max="4" width="23" bestFit="1" customWidth="1"/>
    <col min="5" max="5" width="22.85546875" bestFit="1" customWidth="1"/>
    <col min="6" max="6" width="15.42578125" customWidth="1"/>
    <col min="7" max="7" width="12.5703125" bestFit="1" customWidth="1"/>
    <col min="8" max="8" width="5" bestFit="1" customWidth="1"/>
    <col min="9" max="9" width="15.85546875" customWidth="1"/>
    <col min="10" max="10" width="22.85546875" bestFit="1" customWidth="1"/>
    <col min="11" max="11" width="11.5703125" style="11" bestFit="1" customWidth="1"/>
    <col min="12" max="12" width="11.28515625" style="11" bestFit="1" customWidth="1"/>
    <col min="13" max="13" width="12.5703125" style="11" bestFit="1" customWidth="1"/>
    <col min="14" max="14" width="10" style="11" bestFit="1" customWidth="1"/>
    <col min="15" max="15" width="24.5703125" bestFit="1" customWidth="1"/>
    <col min="16" max="17" width="20.85546875" customWidth="1"/>
    <col min="18" max="18" width="11.28515625" bestFit="1" customWidth="1"/>
    <col min="19" max="20" width="24.42578125" customWidth="1"/>
    <col min="21" max="21" width="13" customWidth="1"/>
    <col min="22" max="22" width="11.5703125" bestFit="1" customWidth="1"/>
    <col min="23" max="23" width="11.28515625" bestFit="1" customWidth="1"/>
    <col min="24" max="24" width="23.5703125" bestFit="1" customWidth="1"/>
    <col min="25" max="25" width="12.5703125" bestFit="1" customWidth="1"/>
  </cols>
  <sheetData>
    <row r="2" spans="4:20" ht="15.75" thickBot="1" x14ac:dyDescent="0.3"/>
    <row r="3" spans="4:20" ht="57" customHeight="1" x14ac:dyDescent="0.25">
      <c r="D3" s="83" t="s">
        <v>62</v>
      </c>
      <c r="E3" s="72" t="s">
        <v>63</v>
      </c>
      <c r="F3" s="72" t="s">
        <v>64</v>
      </c>
      <c r="G3" s="72" t="s">
        <v>65</v>
      </c>
      <c r="H3" s="72" t="s">
        <v>66</v>
      </c>
      <c r="I3" s="72" t="s">
        <v>67</v>
      </c>
      <c r="J3" s="73" t="s">
        <v>157</v>
      </c>
      <c r="K3" s="74" t="s">
        <v>165</v>
      </c>
      <c r="L3" s="75" t="s">
        <v>166</v>
      </c>
      <c r="M3" s="76" t="s">
        <v>167</v>
      </c>
      <c r="N3" s="77" t="s">
        <v>168</v>
      </c>
      <c r="P3" s="89" t="s">
        <v>175</v>
      </c>
      <c r="Q3" s="90" t="s">
        <v>176</v>
      </c>
      <c r="S3" s="89" t="s">
        <v>175</v>
      </c>
      <c r="T3" s="90" t="s">
        <v>176</v>
      </c>
    </row>
    <row r="4" spans="4:20" ht="29.25" thickBot="1" x14ac:dyDescent="0.3">
      <c r="D4" s="84" t="s">
        <v>68</v>
      </c>
      <c r="E4" s="78" t="s">
        <v>31</v>
      </c>
      <c r="F4" s="78" t="s">
        <v>69</v>
      </c>
      <c r="G4" s="78">
        <v>2024</v>
      </c>
      <c r="H4" s="78">
        <v>12</v>
      </c>
      <c r="I4" s="78" t="s">
        <v>70</v>
      </c>
      <c r="J4" s="79" t="str">
        <f t="shared" ref="J4:J55" si="0">IF(I4="incompleto", "revisar urgente", IF(I4="en revisión", "seguimiento", IF(I4="completo", "ok")))</f>
        <v>ok</v>
      </c>
      <c r="K4" s="80" t="str">
        <f>D4 &amp; "-" &amp; G4</f>
        <v>CJ-RH-001-2024</v>
      </c>
      <c r="L4" s="80" t="str">
        <f>IF(G4&lt;=2023, "transferir a historco", "custodia activa")</f>
        <v>custodia activa</v>
      </c>
      <c r="M4" s="80" t="str">
        <f>IF(IF(G4=2025, I4="Incompleto"), "URGENTE:  completar","")</f>
        <v/>
      </c>
      <c r="N4" s="80" t="str">
        <f>LEFT(E4,2) &amp; "-" &amp; D4</f>
        <v>Re-CJ-RH-001</v>
      </c>
      <c r="P4" s="91" t="s">
        <v>89</v>
      </c>
      <c r="Q4" s="18" t="str">
        <f>VLOOKUP(P4, Tabla2[], 2,0)</f>
        <v>Recursos Humanos</v>
      </c>
      <c r="S4" s="91" t="s">
        <v>78</v>
      </c>
      <c r="T4" s="18" t="str">
        <f>_xlfn.XLOOKUP(S4,D:D,E:E,"no se encuentra e codigo",0)</f>
        <v>Logística</v>
      </c>
    </row>
    <row r="5" spans="4:20" ht="45.75" customHeight="1" x14ac:dyDescent="0.25">
      <c r="D5" s="84" t="s">
        <v>71</v>
      </c>
      <c r="E5" s="78" t="s">
        <v>28</v>
      </c>
      <c r="F5" s="78" t="s">
        <v>72</v>
      </c>
      <c r="G5" s="78">
        <v>2025</v>
      </c>
      <c r="H5" s="78">
        <v>8</v>
      </c>
      <c r="I5" s="78" t="s">
        <v>73</v>
      </c>
      <c r="J5" s="79" t="str">
        <f>IF(I5="incompleto", "revisar urgente", IF(I5="en revisión", "seguimiento", IF(I5="completo", "ok")))</f>
        <v>seguimiento</v>
      </c>
      <c r="K5" s="80" t="str">
        <f t="shared" ref="K5:K55" si="1">D5 &amp; "-" &amp; G5</f>
        <v>CJ-FI-001-2025</v>
      </c>
      <c r="L5" s="80" t="str">
        <f t="shared" ref="L5:L55" si="2">IF(G5&lt;=2023, "transferir a historco", "custodia activa")</f>
        <v>custodia activa</v>
      </c>
      <c r="M5" s="80" t="str">
        <f t="shared" ref="M5:M55" si="3">IF(IF(G5=2025, I5="Incompleto"), "URGENTE:  completar","")</f>
        <v/>
      </c>
      <c r="N5" s="80" t="str">
        <f t="shared" ref="N5:N55" si="4">LEFT(E5,2) &amp; "-" &amp; D5</f>
        <v>Fi-CJ-FI-001</v>
      </c>
      <c r="P5" s="89" t="s">
        <v>175</v>
      </c>
      <c r="Q5" s="90" t="s">
        <v>177</v>
      </c>
      <c r="S5" s="89" t="s">
        <v>178</v>
      </c>
      <c r="T5" s="90" t="s">
        <v>179</v>
      </c>
    </row>
    <row r="6" spans="4:20" ht="29.25" thickBot="1" x14ac:dyDescent="0.3">
      <c r="D6" s="84" t="s">
        <v>71</v>
      </c>
      <c r="E6" s="78" t="s">
        <v>28</v>
      </c>
      <c r="F6" s="78" t="s">
        <v>72</v>
      </c>
      <c r="G6" s="78">
        <v>2025</v>
      </c>
      <c r="H6" s="78">
        <v>8</v>
      </c>
      <c r="I6" s="78" t="s">
        <v>73</v>
      </c>
      <c r="J6" s="79" t="str">
        <f t="shared" si="0"/>
        <v>seguimiento</v>
      </c>
      <c r="K6" s="80" t="str">
        <f t="shared" si="1"/>
        <v>CJ-FI-001-2025</v>
      </c>
      <c r="L6" s="80" t="str">
        <f t="shared" si="2"/>
        <v>custodia activa</v>
      </c>
      <c r="M6" s="80" t="str">
        <f t="shared" si="3"/>
        <v/>
      </c>
      <c r="N6" s="80" t="str">
        <f t="shared" si="4"/>
        <v>Fi-CJ-FI-001</v>
      </c>
      <c r="P6" s="35" t="s">
        <v>99</v>
      </c>
      <c r="Q6" s="18" t="str">
        <f>VLOOKUP(P6, Tabla2[], 6,0)</f>
        <v>Completo</v>
      </c>
      <c r="S6" s="92" t="str">
        <f>K19</f>
        <v>CJ-FI-004-2023</v>
      </c>
      <c r="T6" s="18" t="str">
        <f>_xlfn.XLOOKUP(S6,K:K,D:D,"no se encontro",0)</f>
        <v>CJ-FI-004</v>
      </c>
    </row>
    <row r="7" spans="4:20" ht="28.5" x14ac:dyDescent="0.25">
      <c r="D7" s="84" t="s">
        <v>74</v>
      </c>
      <c r="E7" s="78" t="s">
        <v>37</v>
      </c>
      <c r="F7" s="78" t="s">
        <v>75</v>
      </c>
      <c r="G7" s="78">
        <v>2023</v>
      </c>
      <c r="H7" s="78">
        <v>5</v>
      </c>
      <c r="I7" s="78" t="s">
        <v>70</v>
      </c>
      <c r="J7" s="79" t="str">
        <f t="shared" si="0"/>
        <v>ok</v>
      </c>
      <c r="K7" s="80" t="str">
        <f t="shared" si="1"/>
        <v>CJ-LE-001-2023</v>
      </c>
      <c r="L7" s="80" t="str">
        <f t="shared" si="2"/>
        <v>transferir a historco</v>
      </c>
      <c r="M7" s="80" t="str">
        <f t="shared" si="3"/>
        <v/>
      </c>
      <c r="N7" s="80" t="str">
        <f t="shared" si="4"/>
        <v>Le-CJ-LE-001</v>
      </c>
    </row>
    <row r="8" spans="4:20" ht="28.5" x14ac:dyDescent="0.25">
      <c r="D8" s="84" t="s">
        <v>76</v>
      </c>
      <c r="E8" s="78" t="s">
        <v>31</v>
      </c>
      <c r="F8" s="78" t="s">
        <v>77</v>
      </c>
      <c r="G8" s="78">
        <v>2024</v>
      </c>
      <c r="H8" s="78">
        <v>6</v>
      </c>
      <c r="I8" s="78" t="s">
        <v>70</v>
      </c>
      <c r="J8" s="79" t="str">
        <f t="shared" si="0"/>
        <v>ok</v>
      </c>
      <c r="K8" s="80" t="str">
        <f t="shared" si="1"/>
        <v>CJ-RH-002-2024</v>
      </c>
      <c r="L8" s="80" t="str">
        <f t="shared" si="2"/>
        <v>custodia activa</v>
      </c>
      <c r="M8" s="80" t="str">
        <f t="shared" si="3"/>
        <v/>
      </c>
      <c r="N8" s="80" t="str">
        <f t="shared" si="4"/>
        <v>Re-CJ-RH-002</v>
      </c>
      <c r="Q8">
        <f>COUNTIF(D3:I55,"INCOMPLETO")</f>
        <v>7</v>
      </c>
    </row>
    <row r="9" spans="4:20" ht="28.5" x14ac:dyDescent="0.3">
      <c r="D9" s="84" t="s">
        <v>78</v>
      </c>
      <c r="E9" s="78" t="s">
        <v>43</v>
      </c>
      <c r="F9" s="78" t="s">
        <v>79</v>
      </c>
      <c r="G9" s="78">
        <v>2025</v>
      </c>
      <c r="H9" s="78">
        <v>15</v>
      </c>
      <c r="I9" s="78" t="s">
        <v>80</v>
      </c>
      <c r="J9" s="79" t="str">
        <f t="shared" si="0"/>
        <v>revisar urgente</v>
      </c>
      <c r="K9" s="80" t="str">
        <f t="shared" si="1"/>
        <v>CJ-LO-001-2025</v>
      </c>
      <c r="L9" s="80" t="str">
        <f t="shared" si="2"/>
        <v>custodia activa</v>
      </c>
      <c r="M9" s="80" t="str">
        <f t="shared" si="3"/>
        <v>URGENTE:  completar</v>
      </c>
      <c r="N9" s="80" t="str">
        <f t="shared" si="4"/>
        <v>Lo-CJ-LO-001</v>
      </c>
      <c r="P9" s="61" t="s">
        <v>153</v>
      </c>
    </row>
    <row r="10" spans="4:20" ht="28.5" x14ac:dyDescent="0.25">
      <c r="D10" s="84" t="s">
        <v>81</v>
      </c>
      <c r="E10" s="78" t="s">
        <v>28</v>
      </c>
      <c r="F10" s="78" t="s">
        <v>82</v>
      </c>
      <c r="G10" s="78">
        <v>2024</v>
      </c>
      <c r="H10" s="78">
        <v>4</v>
      </c>
      <c r="I10" s="78" t="s">
        <v>70</v>
      </c>
      <c r="J10" s="79" t="str">
        <f t="shared" si="0"/>
        <v>ok</v>
      </c>
      <c r="K10" s="80" t="str">
        <f t="shared" si="1"/>
        <v>CJ-FI-002-2024</v>
      </c>
      <c r="L10" s="80" t="str">
        <f t="shared" si="2"/>
        <v>custodia activa</v>
      </c>
      <c r="M10" s="80" t="str">
        <f t="shared" si="3"/>
        <v/>
      </c>
      <c r="N10" s="80" t="str">
        <f t="shared" si="4"/>
        <v>Fi-CJ-FI-002</v>
      </c>
      <c r="P10" s="62">
        <f>COUNTIFS(E4:E55, "finanzas",  G4:G55, 2024)</f>
        <v>6</v>
      </c>
    </row>
    <row r="11" spans="4:20" ht="28.5" x14ac:dyDescent="0.3">
      <c r="D11" s="84" t="s">
        <v>81</v>
      </c>
      <c r="E11" s="78" t="s">
        <v>28</v>
      </c>
      <c r="F11" s="78" t="s">
        <v>82</v>
      </c>
      <c r="G11" s="78">
        <v>2024</v>
      </c>
      <c r="H11" s="78">
        <v>4</v>
      </c>
      <c r="I11" s="78" t="s">
        <v>70</v>
      </c>
      <c r="J11" s="79" t="str">
        <f t="shared" si="0"/>
        <v>ok</v>
      </c>
      <c r="K11" s="80" t="str">
        <f t="shared" si="1"/>
        <v>CJ-FI-002-2024</v>
      </c>
      <c r="L11" s="80" t="str">
        <f t="shared" si="2"/>
        <v>custodia activa</v>
      </c>
      <c r="M11" s="80" t="str">
        <f t="shared" si="3"/>
        <v/>
      </c>
      <c r="N11" s="80" t="str">
        <f t="shared" si="4"/>
        <v>Fi-CJ-FI-002</v>
      </c>
      <c r="P11" s="64" t="s">
        <v>154</v>
      </c>
    </row>
    <row r="12" spans="4:20" ht="28.5" x14ac:dyDescent="0.25">
      <c r="D12" s="84" t="s">
        <v>83</v>
      </c>
      <c r="E12" s="78" t="s">
        <v>37</v>
      </c>
      <c r="F12" s="78" t="s">
        <v>84</v>
      </c>
      <c r="G12" s="78">
        <v>2022</v>
      </c>
      <c r="H12" s="78">
        <v>3</v>
      </c>
      <c r="I12" s="78" t="s">
        <v>70</v>
      </c>
      <c r="J12" s="79" t="str">
        <f t="shared" si="0"/>
        <v>ok</v>
      </c>
      <c r="K12" s="80" t="str">
        <f t="shared" si="1"/>
        <v>CJ-LE-002-2022</v>
      </c>
      <c r="L12" s="80" t="str">
        <f t="shared" si="2"/>
        <v>transferir a historco</v>
      </c>
      <c r="M12" s="80" t="str">
        <f t="shared" si="3"/>
        <v/>
      </c>
      <c r="N12" s="80" t="str">
        <f t="shared" si="4"/>
        <v>Le-CJ-LE-002</v>
      </c>
      <c r="P12">
        <f>SUMIF(E4:E55, "logística", H4:H55)</f>
        <v>137</v>
      </c>
    </row>
    <row r="13" spans="4:20" ht="28.5" x14ac:dyDescent="0.3">
      <c r="D13" s="84" t="s">
        <v>68</v>
      </c>
      <c r="E13" s="78" t="s">
        <v>31</v>
      </c>
      <c r="F13" s="78" t="s">
        <v>69</v>
      </c>
      <c r="G13" s="78">
        <v>2024</v>
      </c>
      <c r="H13" s="78">
        <v>12</v>
      </c>
      <c r="I13" s="78" t="s">
        <v>70</v>
      </c>
      <c r="J13" s="79" t="str">
        <f t="shared" si="0"/>
        <v>ok</v>
      </c>
      <c r="K13" s="80" t="str">
        <f t="shared" si="1"/>
        <v>CJ-RH-001-2024</v>
      </c>
      <c r="L13" s="80" t="str">
        <f t="shared" si="2"/>
        <v>custodia activa</v>
      </c>
      <c r="M13" s="80" t="str">
        <f t="shared" si="3"/>
        <v/>
      </c>
      <c r="N13" s="80" t="str">
        <f t="shared" si="4"/>
        <v>Re-CJ-RH-001</v>
      </c>
      <c r="P13" s="64" t="s">
        <v>155</v>
      </c>
    </row>
    <row r="14" spans="4:20" ht="28.5" x14ac:dyDescent="0.25">
      <c r="D14" s="84" t="s">
        <v>85</v>
      </c>
      <c r="E14" s="78" t="s">
        <v>43</v>
      </c>
      <c r="F14" s="78" t="s">
        <v>86</v>
      </c>
      <c r="G14" s="78">
        <v>2024</v>
      </c>
      <c r="H14" s="78">
        <v>9</v>
      </c>
      <c r="I14" s="78" t="s">
        <v>73</v>
      </c>
      <c r="J14" s="79" t="str">
        <f t="shared" si="0"/>
        <v>seguimiento</v>
      </c>
      <c r="K14" s="80" t="str">
        <f t="shared" si="1"/>
        <v>CJ-LO-002-2024</v>
      </c>
      <c r="L14" s="80" t="str">
        <f t="shared" si="2"/>
        <v>custodia activa</v>
      </c>
      <c r="M14" s="80" t="str">
        <f t="shared" si="3"/>
        <v/>
      </c>
      <c r="N14" s="80" t="str">
        <f t="shared" si="4"/>
        <v>Lo-CJ-LO-002</v>
      </c>
      <c r="P14" s="65">
        <f>AVERAGEIF(E4:E55, "Recursos Humanos", H4:H55)</f>
        <v>9.0769230769230766</v>
      </c>
    </row>
    <row r="15" spans="4:20" ht="28.5" x14ac:dyDescent="0.25">
      <c r="D15" s="84" t="s">
        <v>87</v>
      </c>
      <c r="E15" s="78" t="s">
        <v>28</v>
      </c>
      <c r="F15" s="78" t="s">
        <v>88</v>
      </c>
      <c r="G15" s="78">
        <v>2025</v>
      </c>
      <c r="H15" s="78">
        <v>20</v>
      </c>
      <c r="I15" s="78" t="s">
        <v>80</v>
      </c>
      <c r="J15" s="79" t="str">
        <f t="shared" si="0"/>
        <v>revisar urgente</v>
      </c>
      <c r="K15" s="80" t="str">
        <f t="shared" si="1"/>
        <v>CJ-FI-003-2025</v>
      </c>
      <c r="L15" s="80" t="str">
        <f t="shared" si="2"/>
        <v>custodia activa</v>
      </c>
      <c r="M15" s="80" t="str">
        <f t="shared" si="3"/>
        <v>URGENTE:  completar</v>
      </c>
      <c r="N15" s="80" t="str">
        <f t="shared" si="4"/>
        <v>Fi-CJ-FI-003</v>
      </c>
    </row>
    <row r="16" spans="4:20" ht="28.5" x14ac:dyDescent="0.3">
      <c r="D16" s="84" t="s">
        <v>89</v>
      </c>
      <c r="E16" s="78" t="s">
        <v>31</v>
      </c>
      <c r="F16" s="78" t="s">
        <v>90</v>
      </c>
      <c r="G16" s="78">
        <v>2023</v>
      </c>
      <c r="H16" s="78">
        <v>7</v>
      </c>
      <c r="I16" s="78" t="s">
        <v>70</v>
      </c>
      <c r="J16" s="79" t="str">
        <f t="shared" si="0"/>
        <v>ok</v>
      </c>
      <c r="K16" s="80" t="str">
        <f t="shared" si="1"/>
        <v>CJ-RH-003-2023</v>
      </c>
      <c r="L16" s="80" t="str">
        <f t="shared" si="2"/>
        <v>transferir a historco</v>
      </c>
      <c r="M16" s="80" t="str">
        <f t="shared" si="3"/>
        <v/>
      </c>
      <c r="N16" s="80" t="str">
        <f t="shared" si="4"/>
        <v>Re-CJ-RH-003</v>
      </c>
      <c r="P16" s="66" t="s">
        <v>156</v>
      </c>
    </row>
    <row r="17" spans="4:16" ht="28.5" x14ac:dyDescent="0.25">
      <c r="D17" s="84" t="s">
        <v>91</v>
      </c>
      <c r="E17" s="78" t="s">
        <v>37</v>
      </c>
      <c r="F17" s="78" t="s">
        <v>92</v>
      </c>
      <c r="G17" s="78">
        <v>2024</v>
      </c>
      <c r="H17" s="78">
        <v>11</v>
      </c>
      <c r="I17" s="78" t="s">
        <v>73</v>
      </c>
      <c r="J17" s="79" t="str">
        <f t="shared" si="0"/>
        <v>seguimiento</v>
      </c>
      <c r="K17" s="80" t="str">
        <f t="shared" si="1"/>
        <v>CJ-LE-003-2024</v>
      </c>
      <c r="L17" s="80" t="str">
        <f t="shared" si="2"/>
        <v>custodia activa</v>
      </c>
      <c r="M17" s="80" t="str">
        <f t="shared" si="3"/>
        <v/>
      </c>
      <c r="N17" s="80" t="str">
        <f t="shared" si="4"/>
        <v>Le-CJ-LE-003</v>
      </c>
    </row>
    <row r="18" spans="4:16" ht="28.5" x14ac:dyDescent="0.3">
      <c r="D18" s="84" t="s">
        <v>93</v>
      </c>
      <c r="E18" s="78" t="s">
        <v>43</v>
      </c>
      <c r="F18" s="78" t="s">
        <v>94</v>
      </c>
      <c r="G18" s="78">
        <v>2025</v>
      </c>
      <c r="H18" s="78">
        <v>14</v>
      </c>
      <c r="I18" s="78" t="s">
        <v>70</v>
      </c>
      <c r="J18" s="79" t="str">
        <f t="shared" si="0"/>
        <v>ok</v>
      </c>
      <c r="K18" s="80" t="str">
        <f t="shared" si="1"/>
        <v>CJ-LO-003-2025</v>
      </c>
      <c r="L18" s="80" t="str">
        <f t="shared" si="2"/>
        <v>custodia activa</v>
      </c>
      <c r="M18" s="80" t="str">
        <f t="shared" si="3"/>
        <v/>
      </c>
      <c r="N18" s="80" t="str">
        <f t="shared" si="4"/>
        <v>Lo-CJ-LO-003</v>
      </c>
      <c r="P18" s="68" t="s">
        <v>158</v>
      </c>
    </row>
    <row r="19" spans="4:16" ht="28.5" x14ac:dyDescent="0.25">
      <c r="D19" s="84" t="s">
        <v>95</v>
      </c>
      <c r="E19" s="78" t="s">
        <v>28</v>
      </c>
      <c r="F19" s="78" t="s">
        <v>96</v>
      </c>
      <c r="G19" s="78">
        <v>2023</v>
      </c>
      <c r="H19" s="78">
        <v>2</v>
      </c>
      <c r="I19" s="78" t="s">
        <v>70</v>
      </c>
      <c r="J19" s="79" t="str">
        <f t="shared" si="0"/>
        <v>ok</v>
      </c>
      <c r="K19" s="80" t="str">
        <f t="shared" si="1"/>
        <v>CJ-FI-004-2023</v>
      </c>
      <c r="L19" s="80" t="str">
        <f t="shared" si="2"/>
        <v>transferir a historco</v>
      </c>
      <c r="M19" s="80" t="str">
        <f t="shared" si="3"/>
        <v/>
      </c>
      <c r="N19" s="80" t="str">
        <f t="shared" si="4"/>
        <v>Fi-CJ-FI-004</v>
      </c>
    </row>
    <row r="20" spans="4:16" ht="28.5" x14ac:dyDescent="0.3">
      <c r="D20" s="84" t="s">
        <v>95</v>
      </c>
      <c r="E20" s="78" t="s">
        <v>28</v>
      </c>
      <c r="F20" s="78" t="s">
        <v>96</v>
      </c>
      <c r="G20" s="78">
        <v>2023</v>
      </c>
      <c r="H20" s="78">
        <v>2</v>
      </c>
      <c r="I20" s="78" t="s">
        <v>70</v>
      </c>
      <c r="J20" s="79" t="str">
        <f t="shared" si="0"/>
        <v>ok</v>
      </c>
      <c r="K20" s="80" t="str">
        <f t="shared" si="1"/>
        <v>CJ-FI-004-2023</v>
      </c>
      <c r="L20" s="80" t="str">
        <f t="shared" si="2"/>
        <v>transferir a historco</v>
      </c>
      <c r="M20" s="80" t="str">
        <f t="shared" si="3"/>
        <v/>
      </c>
      <c r="N20" s="80" t="str">
        <f t="shared" si="4"/>
        <v>Fi-CJ-FI-004</v>
      </c>
      <c r="P20" s="67" t="s">
        <v>159</v>
      </c>
    </row>
    <row r="21" spans="4:16" ht="28.5" x14ac:dyDescent="0.25">
      <c r="D21" s="84" t="s">
        <v>97</v>
      </c>
      <c r="E21" s="78" t="s">
        <v>31</v>
      </c>
      <c r="F21" s="78" t="s">
        <v>98</v>
      </c>
      <c r="G21" s="78">
        <v>2025</v>
      </c>
      <c r="H21" s="78">
        <v>5</v>
      </c>
      <c r="I21" s="78" t="s">
        <v>80</v>
      </c>
      <c r="J21" s="79" t="str">
        <f t="shared" si="0"/>
        <v>revisar urgente</v>
      </c>
      <c r="K21" s="80" t="str">
        <f t="shared" si="1"/>
        <v>CJ-RH-004-2025</v>
      </c>
      <c r="L21" s="80" t="str">
        <f t="shared" si="2"/>
        <v>custodia activa</v>
      </c>
      <c r="M21" s="80" t="str">
        <f t="shared" si="3"/>
        <v>URGENTE:  completar</v>
      </c>
      <c r="N21" s="80" t="str">
        <f t="shared" si="4"/>
        <v>Re-CJ-RH-004</v>
      </c>
    </row>
    <row r="22" spans="4:16" ht="28.5" x14ac:dyDescent="0.3">
      <c r="D22" s="84" t="s">
        <v>78</v>
      </c>
      <c r="E22" s="78" t="s">
        <v>43</v>
      </c>
      <c r="F22" s="78" t="s">
        <v>79</v>
      </c>
      <c r="G22" s="78">
        <v>2025</v>
      </c>
      <c r="H22" s="78">
        <v>15</v>
      </c>
      <c r="I22" s="78" t="s">
        <v>80</v>
      </c>
      <c r="J22" s="79" t="str">
        <f t="shared" si="0"/>
        <v>revisar urgente</v>
      </c>
      <c r="K22" s="80" t="str">
        <f t="shared" si="1"/>
        <v>CJ-LO-001-2025</v>
      </c>
      <c r="L22" s="80" t="str">
        <f t="shared" si="2"/>
        <v>custodia activa</v>
      </c>
      <c r="M22" s="80" t="str">
        <f t="shared" si="3"/>
        <v>URGENTE:  completar</v>
      </c>
      <c r="N22" s="80" t="str">
        <f t="shared" si="4"/>
        <v>Lo-CJ-LO-001</v>
      </c>
      <c r="P22" s="69" t="s">
        <v>160</v>
      </c>
    </row>
    <row r="23" spans="4:16" ht="28.5" x14ac:dyDescent="0.25">
      <c r="D23" s="84" t="s">
        <v>99</v>
      </c>
      <c r="E23" s="78" t="s">
        <v>37</v>
      </c>
      <c r="F23" s="78" t="s">
        <v>100</v>
      </c>
      <c r="G23" s="78">
        <v>2022</v>
      </c>
      <c r="H23" s="78">
        <v>6</v>
      </c>
      <c r="I23" s="78" t="s">
        <v>70</v>
      </c>
      <c r="J23" s="79" t="str">
        <f t="shared" si="0"/>
        <v>ok</v>
      </c>
      <c r="K23" s="80" t="str">
        <f t="shared" si="1"/>
        <v>CJ-LE-004-2022</v>
      </c>
      <c r="L23" s="80" t="str">
        <f t="shared" si="2"/>
        <v>transferir a historco</v>
      </c>
      <c r="M23" s="80" t="str">
        <f t="shared" si="3"/>
        <v/>
      </c>
      <c r="N23" s="80" t="str">
        <f t="shared" si="4"/>
        <v>Le-CJ-LE-004</v>
      </c>
      <c r="P23" s="70" t="s">
        <v>161</v>
      </c>
    </row>
    <row r="24" spans="4:16" ht="28.5" x14ac:dyDescent="0.25">
      <c r="D24" s="84" t="s">
        <v>101</v>
      </c>
      <c r="E24" s="78" t="s">
        <v>28</v>
      </c>
      <c r="F24" s="78" t="s">
        <v>102</v>
      </c>
      <c r="G24" s="78">
        <v>2024</v>
      </c>
      <c r="H24" s="78">
        <v>10</v>
      </c>
      <c r="I24" s="78" t="s">
        <v>70</v>
      </c>
      <c r="J24" s="79" t="str">
        <f t="shared" si="0"/>
        <v>ok</v>
      </c>
      <c r="K24" s="80" t="str">
        <f t="shared" si="1"/>
        <v>CJ-FI-005-2024</v>
      </c>
      <c r="L24" s="80" t="str">
        <f t="shared" si="2"/>
        <v>custodia activa</v>
      </c>
      <c r="M24" s="80" t="str">
        <f t="shared" si="3"/>
        <v/>
      </c>
      <c r="N24" s="80" t="str">
        <f t="shared" si="4"/>
        <v>Fi-CJ-FI-005</v>
      </c>
    </row>
    <row r="25" spans="4:16" ht="28.5" x14ac:dyDescent="0.25">
      <c r="D25" s="84" t="s">
        <v>76</v>
      </c>
      <c r="E25" s="78" t="s">
        <v>31</v>
      </c>
      <c r="F25" s="78" t="s">
        <v>77</v>
      </c>
      <c r="G25" s="78">
        <v>2024</v>
      </c>
      <c r="H25" s="78">
        <v>6</v>
      </c>
      <c r="I25" s="78" t="s">
        <v>70</v>
      </c>
      <c r="J25" s="79" t="str">
        <f t="shared" si="0"/>
        <v>ok</v>
      </c>
      <c r="K25" s="80" t="str">
        <f t="shared" si="1"/>
        <v>CJ-RH-002-2024</v>
      </c>
      <c r="L25" s="80" t="str">
        <f t="shared" si="2"/>
        <v>custodia activa</v>
      </c>
      <c r="M25" s="80" t="str">
        <f t="shared" si="3"/>
        <v/>
      </c>
      <c r="N25" s="80" t="str">
        <f t="shared" si="4"/>
        <v>Re-CJ-RH-002</v>
      </c>
      <c r="P25" s="63" t="s">
        <v>162</v>
      </c>
    </row>
    <row r="26" spans="4:16" ht="28.5" x14ac:dyDescent="0.25">
      <c r="D26" s="84" t="s">
        <v>103</v>
      </c>
      <c r="E26" s="78" t="s">
        <v>43</v>
      </c>
      <c r="F26" s="78" t="s">
        <v>104</v>
      </c>
      <c r="G26" s="78">
        <v>2024</v>
      </c>
      <c r="H26" s="78">
        <v>8</v>
      </c>
      <c r="I26" s="78" t="s">
        <v>73</v>
      </c>
      <c r="J26" s="79" t="str">
        <f t="shared" si="0"/>
        <v>seguimiento</v>
      </c>
      <c r="K26" s="80" t="str">
        <f t="shared" si="1"/>
        <v>CJ-LO-004-2024</v>
      </c>
      <c r="L26" s="80" t="str">
        <f t="shared" si="2"/>
        <v>custodia activa</v>
      </c>
      <c r="M26" s="80" t="str">
        <f t="shared" si="3"/>
        <v/>
      </c>
      <c r="N26" s="80" t="str">
        <f t="shared" si="4"/>
        <v>Lo-CJ-LO-004</v>
      </c>
    </row>
    <row r="27" spans="4:16" ht="28.5" x14ac:dyDescent="0.3">
      <c r="D27" s="84" t="s">
        <v>105</v>
      </c>
      <c r="E27" s="78" t="s">
        <v>37</v>
      </c>
      <c r="F27" s="78" t="s">
        <v>106</v>
      </c>
      <c r="G27" s="78">
        <v>2023</v>
      </c>
      <c r="H27" s="78">
        <v>4</v>
      </c>
      <c r="I27" s="78" t="s">
        <v>70</v>
      </c>
      <c r="J27" s="79" t="str">
        <f t="shared" si="0"/>
        <v>ok</v>
      </c>
      <c r="K27" s="80" t="str">
        <f t="shared" si="1"/>
        <v>CJ-LE-005-2023</v>
      </c>
      <c r="L27" s="80" t="str">
        <f t="shared" si="2"/>
        <v>transferir a historco</v>
      </c>
      <c r="M27" s="80" t="str">
        <f t="shared" si="3"/>
        <v/>
      </c>
      <c r="N27" s="80" t="str">
        <f t="shared" si="4"/>
        <v>Le-CJ-LE-005</v>
      </c>
      <c r="P27" s="61">
        <f>COUNTIF(F4:F55, "*contrat*")</f>
        <v>3</v>
      </c>
    </row>
    <row r="28" spans="4:16" ht="28.5" x14ac:dyDescent="0.3">
      <c r="D28" s="84" t="s">
        <v>107</v>
      </c>
      <c r="E28" s="78" t="s">
        <v>28</v>
      </c>
      <c r="F28" s="78" t="s">
        <v>108</v>
      </c>
      <c r="G28" s="78">
        <v>2025</v>
      </c>
      <c r="H28" s="78">
        <v>18</v>
      </c>
      <c r="I28" s="78" t="s">
        <v>70</v>
      </c>
      <c r="J28" s="79" t="str">
        <f t="shared" si="0"/>
        <v>ok</v>
      </c>
      <c r="K28" s="80" t="str">
        <f t="shared" si="1"/>
        <v>CJ-FI-006-2025</v>
      </c>
      <c r="L28" s="80" t="str">
        <f t="shared" si="2"/>
        <v>custodia activa</v>
      </c>
      <c r="M28" s="80" t="str">
        <f t="shared" si="3"/>
        <v/>
      </c>
      <c r="N28" s="80" t="str">
        <f t="shared" si="4"/>
        <v>Fi-CJ-FI-006</v>
      </c>
      <c r="P28" s="64" t="s">
        <v>163</v>
      </c>
    </row>
    <row r="29" spans="4:16" ht="28.5" x14ac:dyDescent="0.3">
      <c r="D29" s="84" t="s">
        <v>109</v>
      </c>
      <c r="E29" s="78" t="s">
        <v>31</v>
      </c>
      <c r="F29" s="78" t="s">
        <v>110</v>
      </c>
      <c r="G29" s="78">
        <v>2025</v>
      </c>
      <c r="H29" s="78">
        <v>13</v>
      </c>
      <c r="I29" s="78" t="s">
        <v>73</v>
      </c>
      <c r="J29" s="79" t="str">
        <f t="shared" si="0"/>
        <v>seguimiento</v>
      </c>
      <c r="K29" s="80" t="str">
        <f t="shared" si="1"/>
        <v>CJ-RH-005-2025</v>
      </c>
      <c r="L29" s="80" t="str">
        <f t="shared" si="2"/>
        <v>custodia activa</v>
      </c>
      <c r="M29" s="80" t="str">
        <f t="shared" si="3"/>
        <v/>
      </c>
      <c r="N29" s="80" t="str">
        <f t="shared" si="4"/>
        <v>Re-CJ-RH-005</v>
      </c>
      <c r="P29" s="61">
        <f>SUMIFS(H4:H55,E4:E55, "finanzas", G4:G55, 2024)</f>
        <v>48</v>
      </c>
    </row>
    <row r="30" spans="4:16" ht="28.5" x14ac:dyDescent="0.3">
      <c r="D30" s="84" t="s">
        <v>111</v>
      </c>
      <c r="E30" s="78" t="s">
        <v>43</v>
      </c>
      <c r="F30" s="78" t="s">
        <v>112</v>
      </c>
      <c r="G30" s="78">
        <v>2024</v>
      </c>
      <c r="H30" s="78">
        <v>7</v>
      </c>
      <c r="I30" s="78" t="s">
        <v>70</v>
      </c>
      <c r="J30" s="79" t="str">
        <f t="shared" si="0"/>
        <v>ok</v>
      </c>
      <c r="K30" s="80" t="str">
        <f t="shared" si="1"/>
        <v>CJ-LO-005-2024</v>
      </c>
      <c r="L30" s="80" t="str">
        <f t="shared" si="2"/>
        <v>custodia activa</v>
      </c>
      <c r="M30" s="80" t="str">
        <f t="shared" si="3"/>
        <v/>
      </c>
      <c r="N30" s="80" t="str">
        <f t="shared" si="4"/>
        <v>Lo-CJ-LO-005</v>
      </c>
      <c r="P30" s="71" t="s">
        <v>164</v>
      </c>
    </row>
    <row r="31" spans="4:16" ht="28.5" x14ac:dyDescent="0.25">
      <c r="D31" s="84" t="s">
        <v>87</v>
      </c>
      <c r="E31" s="78" t="s">
        <v>28</v>
      </c>
      <c r="F31" s="78" t="s">
        <v>88</v>
      </c>
      <c r="G31" s="78">
        <v>2025</v>
      </c>
      <c r="H31" s="78">
        <v>20</v>
      </c>
      <c r="I31" s="78" t="s">
        <v>80</v>
      </c>
      <c r="J31" s="79" t="str">
        <f t="shared" si="0"/>
        <v>revisar urgente</v>
      </c>
      <c r="K31" s="80" t="str">
        <f t="shared" si="1"/>
        <v>CJ-FI-003-2025</v>
      </c>
      <c r="L31" s="80" t="str">
        <f t="shared" si="2"/>
        <v>custodia activa</v>
      </c>
      <c r="M31" s="80" t="str">
        <f t="shared" si="3"/>
        <v>URGENTE:  completar</v>
      </c>
      <c r="N31" s="80" t="str">
        <f t="shared" si="4"/>
        <v>Fi-CJ-FI-003</v>
      </c>
    </row>
    <row r="32" spans="4:16" ht="28.5" x14ac:dyDescent="0.25">
      <c r="D32" s="84" t="s">
        <v>74</v>
      </c>
      <c r="E32" s="78" t="s">
        <v>37</v>
      </c>
      <c r="F32" s="78" t="s">
        <v>75</v>
      </c>
      <c r="G32" s="78">
        <v>2023</v>
      </c>
      <c r="H32" s="78">
        <v>5</v>
      </c>
      <c r="I32" s="78" t="s">
        <v>70</v>
      </c>
      <c r="J32" s="79" t="str">
        <f t="shared" si="0"/>
        <v>ok</v>
      </c>
      <c r="K32" s="80" t="str">
        <f t="shared" si="1"/>
        <v>CJ-LE-001-2023</v>
      </c>
      <c r="L32" s="80" t="str">
        <f t="shared" si="2"/>
        <v>transferir a historco</v>
      </c>
      <c r="M32" s="80" t="str">
        <f t="shared" si="3"/>
        <v/>
      </c>
      <c r="N32" s="80" t="str">
        <f t="shared" si="4"/>
        <v>Le-CJ-LE-001</v>
      </c>
    </row>
    <row r="33" spans="4:14" ht="28.5" x14ac:dyDescent="0.25">
      <c r="D33" s="84" t="s">
        <v>113</v>
      </c>
      <c r="E33" s="78" t="s">
        <v>31</v>
      </c>
      <c r="F33" s="78" t="s">
        <v>114</v>
      </c>
      <c r="G33" s="78">
        <v>2024</v>
      </c>
      <c r="H33" s="78">
        <v>14</v>
      </c>
      <c r="I33" s="78" t="s">
        <v>70</v>
      </c>
      <c r="J33" s="79" t="str">
        <f t="shared" si="0"/>
        <v>ok</v>
      </c>
      <c r="K33" s="80" t="str">
        <f t="shared" si="1"/>
        <v>CJ-RH-006-2024</v>
      </c>
      <c r="L33" s="80" t="str">
        <f t="shared" si="2"/>
        <v>custodia activa</v>
      </c>
      <c r="M33" s="80" t="str">
        <f t="shared" si="3"/>
        <v/>
      </c>
      <c r="N33" s="80" t="str">
        <f t="shared" si="4"/>
        <v>Re-CJ-RH-006</v>
      </c>
    </row>
    <row r="34" spans="4:14" ht="28.5" x14ac:dyDescent="0.25">
      <c r="D34" s="84" t="s">
        <v>115</v>
      </c>
      <c r="E34" s="78" t="s">
        <v>28</v>
      </c>
      <c r="F34" s="78" t="s">
        <v>116</v>
      </c>
      <c r="G34" s="78">
        <v>2025</v>
      </c>
      <c r="H34" s="78">
        <v>3</v>
      </c>
      <c r="I34" s="78" t="s">
        <v>73</v>
      </c>
      <c r="J34" s="79" t="str">
        <f t="shared" si="0"/>
        <v>seguimiento</v>
      </c>
      <c r="K34" s="80" t="str">
        <f t="shared" si="1"/>
        <v>CJ-FI-007-2025</v>
      </c>
      <c r="L34" s="80" t="str">
        <f t="shared" si="2"/>
        <v>custodia activa</v>
      </c>
      <c r="M34" s="80" t="str">
        <f t="shared" si="3"/>
        <v/>
      </c>
      <c r="N34" s="80" t="str">
        <f t="shared" si="4"/>
        <v>Fi-CJ-FI-007</v>
      </c>
    </row>
    <row r="35" spans="4:14" ht="28.5" x14ac:dyDescent="0.25">
      <c r="D35" s="84" t="s">
        <v>117</v>
      </c>
      <c r="E35" s="78" t="s">
        <v>43</v>
      </c>
      <c r="F35" s="78" t="s">
        <v>118</v>
      </c>
      <c r="G35" s="78">
        <v>2023</v>
      </c>
      <c r="H35" s="78">
        <v>9</v>
      </c>
      <c r="I35" s="78" t="s">
        <v>70</v>
      </c>
      <c r="J35" s="79" t="str">
        <f t="shared" si="0"/>
        <v>ok</v>
      </c>
      <c r="K35" s="80" t="str">
        <f t="shared" si="1"/>
        <v>CJ-LO-006-2023</v>
      </c>
      <c r="L35" s="80" t="str">
        <f t="shared" si="2"/>
        <v>transferir a historco</v>
      </c>
      <c r="M35" s="80" t="str">
        <f t="shared" si="3"/>
        <v/>
      </c>
      <c r="N35" s="80" t="str">
        <f t="shared" si="4"/>
        <v>Lo-CJ-LO-006</v>
      </c>
    </row>
    <row r="36" spans="4:14" ht="28.5" x14ac:dyDescent="0.25">
      <c r="D36" s="84" t="s">
        <v>119</v>
      </c>
      <c r="E36" s="78" t="s">
        <v>37</v>
      </c>
      <c r="F36" s="78" t="s">
        <v>120</v>
      </c>
      <c r="G36" s="78">
        <v>2024</v>
      </c>
      <c r="H36" s="78">
        <v>2</v>
      </c>
      <c r="I36" s="78" t="s">
        <v>70</v>
      </c>
      <c r="J36" s="79" t="str">
        <f t="shared" si="0"/>
        <v>ok</v>
      </c>
      <c r="K36" s="80" t="str">
        <f t="shared" si="1"/>
        <v>CJ-LE-006-2024</v>
      </c>
      <c r="L36" s="80" t="str">
        <f t="shared" si="2"/>
        <v>custodia activa</v>
      </c>
      <c r="M36" s="80" t="str">
        <f t="shared" si="3"/>
        <v/>
      </c>
      <c r="N36" s="80" t="str">
        <f t="shared" si="4"/>
        <v>Le-CJ-LE-006</v>
      </c>
    </row>
    <row r="37" spans="4:14" ht="28.5" x14ac:dyDescent="0.25">
      <c r="D37" s="84" t="s">
        <v>89</v>
      </c>
      <c r="E37" s="78" t="s">
        <v>31</v>
      </c>
      <c r="F37" s="78" t="s">
        <v>90</v>
      </c>
      <c r="G37" s="78">
        <v>2023</v>
      </c>
      <c r="H37" s="78">
        <v>7</v>
      </c>
      <c r="I37" s="78" t="s">
        <v>70</v>
      </c>
      <c r="J37" s="79" t="str">
        <f t="shared" si="0"/>
        <v>ok</v>
      </c>
      <c r="K37" s="80" t="str">
        <f t="shared" si="1"/>
        <v>CJ-RH-003-2023</v>
      </c>
      <c r="L37" s="80" t="str">
        <f t="shared" si="2"/>
        <v>transferir a historco</v>
      </c>
      <c r="M37" s="80" t="str">
        <f t="shared" si="3"/>
        <v/>
      </c>
      <c r="N37" s="80" t="str">
        <f t="shared" si="4"/>
        <v>Re-CJ-RH-003</v>
      </c>
    </row>
    <row r="38" spans="4:14" ht="28.5" x14ac:dyDescent="0.25">
      <c r="D38" s="84" t="s">
        <v>121</v>
      </c>
      <c r="E38" s="78" t="s">
        <v>28</v>
      </c>
      <c r="F38" s="78" t="s">
        <v>122</v>
      </c>
      <c r="G38" s="78">
        <v>2024</v>
      </c>
      <c r="H38" s="78">
        <v>22</v>
      </c>
      <c r="I38" s="78" t="s">
        <v>70</v>
      </c>
      <c r="J38" s="79" t="str">
        <f t="shared" si="0"/>
        <v>ok</v>
      </c>
      <c r="K38" s="80" t="str">
        <f t="shared" si="1"/>
        <v>CJ-FI-008-2024</v>
      </c>
      <c r="L38" s="80" t="str">
        <f t="shared" si="2"/>
        <v>custodia activa</v>
      </c>
      <c r="M38" s="80" t="str">
        <f t="shared" si="3"/>
        <v/>
      </c>
      <c r="N38" s="80" t="str">
        <f t="shared" si="4"/>
        <v>Fi-CJ-FI-008</v>
      </c>
    </row>
    <row r="39" spans="4:14" ht="28.5" x14ac:dyDescent="0.25">
      <c r="D39" s="84" t="s">
        <v>123</v>
      </c>
      <c r="E39" s="78" t="s">
        <v>43</v>
      </c>
      <c r="F39" s="78" t="s">
        <v>124</v>
      </c>
      <c r="G39" s="78">
        <v>2025</v>
      </c>
      <c r="H39" s="78">
        <v>6</v>
      </c>
      <c r="I39" s="78" t="s">
        <v>80</v>
      </c>
      <c r="J39" s="79" t="str">
        <f t="shared" si="0"/>
        <v>revisar urgente</v>
      </c>
      <c r="K39" s="80" t="str">
        <f t="shared" si="1"/>
        <v>CJ-LO-007-2025</v>
      </c>
      <c r="L39" s="80" t="str">
        <f t="shared" si="2"/>
        <v>custodia activa</v>
      </c>
      <c r="M39" s="80" t="str">
        <f t="shared" si="3"/>
        <v>URGENTE:  completar</v>
      </c>
      <c r="N39" s="80" t="str">
        <f t="shared" si="4"/>
        <v>Lo-CJ-LO-007</v>
      </c>
    </row>
    <row r="40" spans="4:14" ht="28.5" x14ac:dyDescent="0.25">
      <c r="D40" s="84" t="s">
        <v>125</v>
      </c>
      <c r="E40" s="78" t="s">
        <v>37</v>
      </c>
      <c r="F40" s="78" t="s">
        <v>126</v>
      </c>
      <c r="G40" s="78">
        <v>2025</v>
      </c>
      <c r="H40" s="78">
        <v>5</v>
      </c>
      <c r="I40" s="78" t="s">
        <v>70</v>
      </c>
      <c r="J40" s="79" t="str">
        <f t="shared" si="0"/>
        <v>ok</v>
      </c>
      <c r="K40" s="80" t="str">
        <f t="shared" si="1"/>
        <v>CJ-LE-007-2025</v>
      </c>
      <c r="L40" s="80" t="str">
        <f t="shared" si="2"/>
        <v>custodia activa</v>
      </c>
      <c r="M40" s="80" t="str">
        <f t="shared" si="3"/>
        <v/>
      </c>
      <c r="N40" s="80" t="str">
        <f t="shared" si="4"/>
        <v>Le-CJ-LE-007</v>
      </c>
    </row>
    <row r="41" spans="4:14" ht="28.5" x14ac:dyDescent="0.25">
      <c r="D41" s="84" t="s">
        <v>127</v>
      </c>
      <c r="E41" s="78" t="s">
        <v>31</v>
      </c>
      <c r="F41" s="78" t="s">
        <v>128</v>
      </c>
      <c r="G41" s="78">
        <v>2024</v>
      </c>
      <c r="H41" s="78">
        <v>11</v>
      </c>
      <c r="I41" s="78" t="s">
        <v>73</v>
      </c>
      <c r="J41" s="79" t="str">
        <f t="shared" si="0"/>
        <v>seguimiento</v>
      </c>
      <c r="K41" s="80" t="str">
        <f t="shared" si="1"/>
        <v>CJ-RH-007-2024</v>
      </c>
      <c r="L41" s="80" t="str">
        <f t="shared" si="2"/>
        <v>custodia activa</v>
      </c>
      <c r="M41" s="80" t="str">
        <f t="shared" si="3"/>
        <v/>
      </c>
      <c r="N41" s="80" t="str">
        <f t="shared" si="4"/>
        <v>Re-CJ-RH-007</v>
      </c>
    </row>
    <row r="42" spans="4:14" ht="28.5" x14ac:dyDescent="0.25">
      <c r="D42" s="84" t="s">
        <v>129</v>
      </c>
      <c r="E42" s="78" t="s">
        <v>28</v>
      </c>
      <c r="F42" s="78" t="s">
        <v>130</v>
      </c>
      <c r="G42" s="78">
        <v>2023</v>
      </c>
      <c r="H42" s="78">
        <v>12</v>
      </c>
      <c r="I42" s="78" t="s">
        <v>70</v>
      </c>
      <c r="J42" s="79" t="str">
        <f t="shared" si="0"/>
        <v>ok</v>
      </c>
      <c r="K42" s="80" t="str">
        <f t="shared" si="1"/>
        <v>CJ-FI-009-2023</v>
      </c>
      <c r="L42" s="80" t="str">
        <f t="shared" si="2"/>
        <v>transferir a historco</v>
      </c>
      <c r="M42" s="80" t="str">
        <f t="shared" si="3"/>
        <v/>
      </c>
      <c r="N42" s="80" t="str">
        <f t="shared" si="4"/>
        <v>Fi-CJ-FI-009</v>
      </c>
    </row>
    <row r="43" spans="4:14" ht="28.5" x14ac:dyDescent="0.25">
      <c r="D43" s="84" t="s">
        <v>93</v>
      </c>
      <c r="E43" s="78" t="s">
        <v>43</v>
      </c>
      <c r="F43" s="78" t="s">
        <v>94</v>
      </c>
      <c r="G43" s="78">
        <v>2025</v>
      </c>
      <c r="H43" s="78">
        <v>14</v>
      </c>
      <c r="I43" s="78" t="s">
        <v>70</v>
      </c>
      <c r="J43" s="79" t="str">
        <f t="shared" si="0"/>
        <v>ok</v>
      </c>
      <c r="K43" s="80" t="str">
        <f t="shared" si="1"/>
        <v>CJ-LO-003-2025</v>
      </c>
      <c r="L43" s="80" t="str">
        <f t="shared" si="2"/>
        <v>custodia activa</v>
      </c>
      <c r="M43" s="80" t="str">
        <f t="shared" si="3"/>
        <v/>
      </c>
      <c r="N43" s="80" t="str">
        <f t="shared" si="4"/>
        <v>Lo-CJ-LO-003</v>
      </c>
    </row>
    <row r="44" spans="4:14" ht="28.5" x14ac:dyDescent="0.25">
      <c r="D44" s="84" t="s">
        <v>131</v>
      </c>
      <c r="E44" s="78" t="s">
        <v>37</v>
      </c>
      <c r="F44" s="78" t="s">
        <v>132</v>
      </c>
      <c r="G44" s="78">
        <v>2024</v>
      </c>
      <c r="H44" s="78">
        <v>8</v>
      </c>
      <c r="I44" s="78" t="s">
        <v>70</v>
      </c>
      <c r="J44" s="79" t="str">
        <f t="shared" si="0"/>
        <v>ok</v>
      </c>
      <c r="K44" s="80" t="str">
        <f t="shared" si="1"/>
        <v>CJ-LE-008-2024</v>
      </c>
      <c r="L44" s="80" t="str">
        <f t="shared" si="2"/>
        <v>custodia activa</v>
      </c>
      <c r="M44" s="80" t="str">
        <f t="shared" si="3"/>
        <v/>
      </c>
      <c r="N44" s="80" t="str">
        <f t="shared" si="4"/>
        <v>Le-CJ-LE-008</v>
      </c>
    </row>
    <row r="45" spans="4:14" ht="28.5" x14ac:dyDescent="0.25">
      <c r="D45" s="84" t="s">
        <v>133</v>
      </c>
      <c r="E45" s="78" t="s">
        <v>31</v>
      </c>
      <c r="F45" s="78" t="s">
        <v>134</v>
      </c>
      <c r="G45" s="78">
        <v>2025</v>
      </c>
      <c r="H45" s="78">
        <v>10</v>
      </c>
      <c r="I45" s="78" t="s">
        <v>70</v>
      </c>
      <c r="J45" s="79" t="str">
        <f t="shared" si="0"/>
        <v>ok</v>
      </c>
      <c r="K45" s="80" t="str">
        <f t="shared" si="1"/>
        <v>CJ-RH-008-2025</v>
      </c>
      <c r="L45" s="80" t="str">
        <f t="shared" si="2"/>
        <v>custodia activa</v>
      </c>
      <c r="M45" s="80" t="str">
        <f t="shared" si="3"/>
        <v/>
      </c>
      <c r="N45" s="80" t="str">
        <f t="shared" si="4"/>
        <v>Re-CJ-RH-008</v>
      </c>
    </row>
    <row r="46" spans="4:14" ht="28.5" x14ac:dyDescent="0.25">
      <c r="D46" s="84" t="s">
        <v>135</v>
      </c>
      <c r="E46" s="78" t="s">
        <v>28</v>
      </c>
      <c r="F46" s="78" t="s">
        <v>136</v>
      </c>
      <c r="G46" s="78">
        <v>2024</v>
      </c>
      <c r="H46" s="78">
        <v>4</v>
      </c>
      <c r="I46" s="78" t="s">
        <v>70</v>
      </c>
      <c r="J46" s="79" t="str">
        <f t="shared" si="0"/>
        <v>ok</v>
      </c>
      <c r="K46" s="80" t="str">
        <f t="shared" si="1"/>
        <v>CJ-FI-010-2024</v>
      </c>
      <c r="L46" s="80" t="str">
        <f t="shared" si="2"/>
        <v>custodia activa</v>
      </c>
      <c r="M46" s="80" t="str">
        <f t="shared" si="3"/>
        <v/>
      </c>
      <c r="N46" s="80" t="str">
        <f t="shared" si="4"/>
        <v>Fi-CJ-FI-010</v>
      </c>
    </row>
    <row r="47" spans="4:14" ht="28.5" x14ac:dyDescent="0.25">
      <c r="D47" s="84" t="s">
        <v>137</v>
      </c>
      <c r="E47" s="78" t="s">
        <v>43</v>
      </c>
      <c r="F47" s="78" t="s">
        <v>138</v>
      </c>
      <c r="G47" s="78">
        <v>2024</v>
      </c>
      <c r="H47" s="78">
        <v>16</v>
      </c>
      <c r="I47" s="78" t="s">
        <v>70</v>
      </c>
      <c r="J47" s="79" t="str">
        <f t="shared" si="0"/>
        <v>ok</v>
      </c>
      <c r="K47" s="80" t="str">
        <f t="shared" si="1"/>
        <v>CJ-LO-008-2024</v>
      </c>
      <c r="L47" s="80" t="str">
        <f t="shared" si="2"/>
        <v>custodia activa</v>
      </c>
      <c r="M47" s="80" t="str">
        <f t="shared" si="3"/>
        <v/>
      </c>
      <c r="N47" s="80" t="str">
        <f t="shared" si="4"/>
        <v>Lo-CJ-LO-008</v>
      </c>
    </row>
    <row r="48" spans="4:14" ht="28.5" x14ac:dyDescent="0.25">
      <c r="D48" s="84" t="s">
        <v>135</v>
      </c>
      <c r="E48" s="78" t="s">
        <v>28</v>
      </c>
      <c r="F48" s="78" t="s">
        <v>136</v>
      </c>
      <c r="G48" s="78">
        <v>2024</v>
      </c>
      <c r="H48" s="78">
        <v>4</v>
      </c>
      <c r="I48" s="78" t="s">
        <v>70</v>
      </c>
      <c r="J48" s="79" t="str">
        <f t="shared" si="0"/>
        <v>ok</v>
      </c>
      <c r="K48" s="80" t="str">
        <f t="shared" si="1"/>
        <v>CJ-FI-010-2024</v>
      </c>
      <c r="L48" s="80" t="str">
        <f t="shared" si="2"/>
        <v>custodia activa</v>
      </c>
      <c r="M48" s="80" t="str">
        <f t="shared" si="3"/>
        <v/>
      </c>
      <c r="N48" s="80" t="str">
        <f t="shared" si="4"/>
        <v>Fi-CJ-FI-010</v>
      </c>
    </row>
    <row r="49" spans="4:14" ht="28.5" x14ac:dyDescent="0.25">
      <c r="D49" s="84" t="s">
        <v>139</v>
      </c>
      <c r="E49" s="78" t="s">
        <v>37</v>
      </c>
      <c r="F49" s="78" t="s">
        <v>140</v>
      </c>
      <c r="G49" s="78">
        <v>2023</v>
      </c>
      <c r="H49" s="78">
        <v>7</v>
      </c>
      <c r="I49" s="78" t="s">
        <v>73</v>
      </c>
      <c r="J49" s="79" t="str">
        <f t="shared" si="0"/>
        <v>seguimiento</v>
      </c>
      <c r="K49" s="80" t="str">
        <f t="shared" si="1"/>
        <v>CJ-LE-009-2023</v>
      </c>
      <c r="L49" s="80" t="str">
        <f t="shared" si="2"/>
        <v>transferir a historco</v>
      </c>
      <c r="M49" s="80" t="str">
        <f t="shared" si="3"/>
        <v/>
      </c>
      <c r="N49" s="80" t="str">
        <f t="shared" si="4"/>
        <v>Le-CJ-LE-009</v>
      </c>
    </row>
    <row r="50" spans="4:14" ht="28.5" x14ac:dyDescent="0.25">
      <c r="D50" s="84" t="s">
        <v>141</v>
      </c>
      <c r="E50" s="78" t="s">
        <v>31</v>
      </c>
      <c r="F50" s="78" t="s">
        <v>142</v>
      </c>
      <c r="G50" s="78">
        <v>2023</v>
      </c>
      <c r="H50" s="78">
        <v>9</v>
      </c>
      <c r="I50" s="78" t="s">
        <v>70</v>
      </c>
      <c r="J50" s="79" t="str">
        <f t="shared" si="0"/>
        <v>ok</v>
      </c>
      <c r="K50" s="80" t="str">
        <f t="shared" si="1"/>
        <v>CJ-RH-009-2023</v>
      </c>
      <c r="L50" s="80" t="str">
        <f t="shared" si="2"/>
        <v>transferir a historco</v>
      </c>
      <c r="M50" s="80" t="str">
        <f t="shared" si="3"/>
        <v/>
      </c>
      <c r="N50" s="80" t="str">
        <f t="shared" si="4"/>
        <v>Re-CJ-RH-009</v>
      </c>
    </row>
    <row r="51" spans="4:14" ht="28.5" x14ac:dyDescent="0.25">
      <c r="D51" s="84" t="s">
        <v>143</v>
      </c>
      <c r="E51" s="78" t="s">
        <v>43</v>
      </c>
      <c r="F51" s="78" t="s">
        <v>144</v>
      </c>
      <c r="G51" s="78">
        <v>2025</v>
      </c>
      <c r="H51" s="78">
        <v>11</v>
      </c>
      <c r="I51" s="78" t="s">
        <v>80</v>
      </c>
      <c r="J51" s="79" t="str">
        <f t="shared" si="0"/>
        <v>revisar urgente</v>
      </c>
      <c r="K51" s="80" t="str">
        <f t="shared" si="1"/>
        <v>CJ-LO-009-2025</v>
      </c>
      <c r="L51" s="80" t="str">
        <f t="shared" si="2"/>
        <v>custodia activa</v>
      </c>
      <c r="M51" s="80" t="str">
        <f t="shared" si="3"/>
        <v>URGENTE:  completar</v>
      </c>
      <c r="N51" s="80" t="str">
        <f t="shared" si="4"/>
        <v>Lo-CJ-LO-009</v>
      </c>
    </row>
    <row r="52" spans="4:14" ht="28.5" x14ac:dyDescent="0.25">
      <c r="D52" s="84" t="s">
        <v>145</v>
      </c>
      <c r="E52" s="78" t="s">
        <v>28</v>
      </c>
      <c r="F52" s="78" t="s">
        <v>146</v>
      </c>
      <c r="G52" s="78">
        <v>2022</v>
      </c>
      <c r="H52" s="78">
        <v>5</v>
      </c>
      <c r="I52" s="78" t="s">
        <v>70</v>
      </c>
      <c r="J52" s="79" t="str">
        <f t="shared" si="0"/>
        <v>ok</v>
      </c>
      <c r="K52" s="80" t="str">
        <f t="shared" si="1"/>
        <v>CJ-FI-011-2022</v>
      </c>
      <c r="L52" s="80" t="str">
        <f t="shared" si="2"/>
        <v>transferir a historco</v>
      </c>
      <c r="M52" s="80" t="str">
        <f t="shared" si="3"/>
        <v/>
      </c>
      <c r="N52" s="80" t="str">
        <f t="shared" si="4"/>
        <v>Fi-CJ-FI-011</v>
      </c>
    </row>
    <row r="53" spans="4:14" ht="28.5" x14ac:dyDescent="0.25">
      <c r="D53" s="84" t="s">
        <v>147</v>
      </c>
      <c r="E53" s="78" t="s">
        <v>37</v>
      </c>
      <c r="F53" s="78" t="s">
        <v>148</v>
      </c>
      <c r="G53" s="78">
        <v>2022</v>
      </c>
      <c r="H53" s="78">
        <v>3</v>
      </c>
      <c r="I53" s="78" t="s">
        <v>70</v>
      </c>
      <c r="J53" s="79" t="str">
        <f t="shared" si="0"/>
        <v>ok</v>
      </c>
      <c r="K53" s="80" t="str">
        <f t="shared" si="1"/>
        <v>CJ-LE-010-2022</v>
      </c>
      <c r="L53" s="80" t="str">
        <f t="shared" si="2"/>
        <v>transferir a historco</v>
      </c>
      <c r="M53" s="80" t="str">
        <f t="shared" si="3"/>
        <v/>
      </c>
      <c r="N53" s="80" t="str">
        <f t="shared" si="4"/>
        <v>Le-CJ-LE-010</v>
      </c>
    </row>
    <row r="54" spans="4:14" ht="28.5" x14ac:dyDescent="0.25">
      <c r="D54" s="84" t="s">
        <v>149</v>
      </c>
      <c r="E54" s="78" t="s">
        <v>31</v>
      </c>
      <c r="F54" s="78" t="s">
        <v>150</v>
      </c>
      <c r="G54" s="78">
        <v>2024</v>
      </c>
      <c r="H54" s="78">
        <v>6</v>
      </c>
      <c r="I54" s="78" t="s">
        <v>70</v>
      </c>
      <c r="J54" s="79" t="str">
        <f t="shared" si="0"/>
        <v>ok</v>
      </c>
      <c r="K54" s="80" t="str">
        <f t="shared" si="1"/>
        <v>CJ-RH-010-2024</v>
      </c>
      <c r="L54" s="80" t="str">
        <f t="shared" si="2"/>
        <v>custodia activa</v>
      </c>
      <c r="M54" s="80" t="str">
        <f t="shared" si="3"/>
        <v/>
      </c>
      <c r="N54" s="80" t="str">
        <f t="shared" si="4"/>
        <v>Re-CJ-RH-010</v>
      </c>
    </row>
    <row r="55" spans="4:14" ht="28.5" x14ac:dyDescent="0.25">
      <c r="D55" s="84" t="s">
        <v>151</v>
      </c>
      <c r="E55" s="78" t="s">
        <v>43</v>
      </c>
      <c r="F55" s="78" t="s">
        <v>152</v>
      </c>
      <c r="G55" s="78">
        <v>2024</v>
      </c>
      <c r="H55" s="78">
        <v>13</v>
      </c>
      <c r="I55" s="78" t="s">
        <v>70</v>
      </c>
      <c r="J55" s="79" t="str">
        <f t="shared" si="0"/>
        <v>ok</v>
      </c>
      <c r="K55" s="80" t="str">
        <f t="shared" si="1"/>
        <v>CJ-LO-010-2024</v>
      </c>
      <c r="L55" s="80" t="str">
        <f t="shared" si="2"/>
        <v>custodia activa</v>
      </c>
      <c r="M55" s="80" t="str">
        <f t="shared" si="3"/>
        <v/>
      </c>
      <c r="N55" s="80" t="str">
        <f t="shared" si="4"/>
        <v>Lo-CJ-LO-010</v>
      </c>
    </row>
    <row r="56" spans="4:14" x14ac:dyDescent="0.25">
      <c r="D56" s="81"/>
      <c r="E56" s="81"/>
      <c r="F56" s="81"/>
      <c r="G56" s="81"/>
      <c r="H56" s="81"/>
      <c r="I56" s="81"/>
      <c r="J56" s="81"/>
      <c r="K56" s="82"/>
      <c r="L56" s="82"/>
      <c r="M56" s="82"/>
      <c r="N56" s="82"/>
    </row>
    <row r="58" spans="4:14" x14ac:dyDescent="0.25">
      <c r="D58" s="85" t="s">
        <v>166</v>
      </c>
      <c r="E58" t="s">
        <v>173</v>
      </c>
    </row>
    <row r="60" spans="4:14" x14ac:dyDescent="0.25">
      <c r="D60" s="85" t="s">
        <v>171</v>
      </c>
      <c r="E60" s="85" t="s">
        <v>172</v>
      </c>
      <c r="I60" s="85" t="s">
        <v>169</v>
      </c>
      <c r="J60" t="s">
        <v>174</v>
      </c>
      <c r="K60"/>
    </row>
    <row r="61" spans="4:14" x14ac:dyDescent="0.25">
      <c r="D61" s="85" t="s">
        <v>169</v>
      </c>
      <c r="E61">
        <v>2022</v>
      </c>
      <c r="F61">
        <v>2023</v>
      </c>
      <c r="G61" t="s">
        <v>170</v>
      </c>
      <c r="I61" s="86" t="s">
        <v>28</v>
      </c>
      <c r="J61" s="87">
        <v>16</v>
      </c>
      <c r="K61"/>
    </row>
    <row r="62" spans="4:14" x14ac:dyDescent="0.25">
      <c r="D62" s="86" t="s">
        <v>28</v>
      </c>
      <c r="E62" s="87">
        <v>5</v>
      </c>
      <c r="F62" s="87">
        <v>16</v>
      </c>
      <c r="G62" s="87">
        <v>21</v>
      </c>
      <c r="I62" s="86" t="s">
        <v>37</v>
      </c>
      <c r="J62" s="87">
        <v>11</v>
      </c>
      <c r="K62"/>
    </row>
    <row r="63" spans="4:14" x14ac:dyDescent="0.25">
      <c r="D63" s="86" t="s">
        <v>37</v>
      </c>
      <c r="E63" s="87">
        <v>12</v>
      </c>
      <c r="F63" s="87">
        <v>21</v>
      </c>
      <c r="G63" s="87">
        <v>33</v>
      </c>
      <c r="I63" s="86" t="s">
        <v>43</v>
      </c>
      <c r="J63" s="87">
        <v>12</v>
      </c>
      <c r="K63"/>
    </row>
    <row r="64" spans="4:14" x14ac:dyDescent="0.25">
      <c r="D64" s="86" t="s">
        <v>43</v>
      </c>
      <c r="E64" s="87"/>
      <c r="F64" s="87">
        <v>9</v>
      </c>
      <c r="G64" s="87">
        <v>9</v>
      </c>
      <c r="I64" s="86" t="s">
        <v>31</v>
      </c>
      <c r="J64" s="87">
        <v>13</v>
      </c>
      <c r="K64"/>
    </row>
    <row r="65" spans="4:11" x14ac:dyDescent="0.25">
      <c r="D65" s="86" t="s">
        <v>31</v>
      </c>
      <c r="E65" s="87"/>
      <c r="F65" s="87">
        <v>23</v>
      </c>
      <c r="G65" s="87">
        <v>23</v>
      </c>
      <c r="I65" s="86" t="s">
        <v>170</v>
      </c>
      <c r="J65" s="87">
        <v>52</v>
      </c>
      <c r="K65"/>
    </row>
    <row r="66" spans="4:11" x14ac:dyDescent="0.25">
      <c r="D66" s="86" t="s">
        <v>170</v>
      </c>
      <c r="E66" s="87">
        <v>17</v>
      </c>
      <c r="F66" s="87">
        <v>69</v>
      </c>
      <c r="G66" s="87">
        <v>86</v>
      </c>
      <c r="K66"/>
    </row>
    <row r="67" spans="4:11" x14ac:dyDescent="0.25">
      <c r="K67"/>
    </row>
    <row r="68" spans="4:11" x14ac:dyDescent="0.25">
      <c r="K68"/>
    </row>
    <row r="69" spans="4:11" x14ac:dyDescent="0.25">
      <c r="K69"/>
    </row>
    <row r="70" spans="4:11" x14ac:dyDescent="0.25">
      <c r="K70"/>
    </row>
    <row r="71" spans="4:11" x14ac:dyDescent="0.25">
      <c r="K71"/>
    </row>
    <row r="72" spans="4:11" x14ac:dyDescent="0.25">
      <c r="K72"/>
    </row>
    <row r="73" spans="4:11" x14ac:dyDescent="0.25">
      <c r="D73" s="85" t="s">
        <v>169</v>
      </c>
      <c r="E73" t="s">
        <v>171</v>
      </c>
      <c r="I73" s="85" t="s">
        <v>169</v>
      </c>
      <c r="J73" t="s">
        <v>171</v>
      </c>
      <c r="K73"/>
    </row>
    <row r="74" spans="4:11" x14ac:dyDescent="0.25">
      <c r="D74" s="86" t="s">
        <v>28</v>
      </c>
      <c r="E74" s="87"/>
      <c r="I74" s="86" t="s">
        <v>28</v>
      </c>
      <c r="J74" s="87">
        <v>146</v>
      </c>
      <c r="K74"/>
    </row>
    <row r="75" spans="4:11" x14ac:dyDescent="0.25">
      <c r="D75" s="88" t="s">
        <v>70</v>
      </c>
      <c r="E75" s="87">
        <v>87</v>
      </c>
      <c r="I75" s="86" t="s">
        <v>43</v>
      </c>
      <c r="J75" s="87">
        <v>137</v>
      </c>
      <c r="K75"/>
    </row>
    <row r="76" spans="4:11" x14ac:dyDescent="0.25">
      <c r="D76" s="88" t="s">
        <v>73</v>
      </c>
      <c r="E76" s="87">
        <v>19</v>
      </c>
      <c r="I76" s="86" t="s">
        <v>31</v>
      </c>
      <c r="J76" s="87">
        <v>118</v>
      </c>
      <c r="K76"/>
    </row>
    <row r="77" spans="4:11" x14ac:dyDescent="0.25">
      <c r="D77" s="88" t="s">
        <v>80</v>
      </c>
      <c r="E77" s="87">
        <v>40</v>
      </c>
      <c r="I77" s="86" t="s">
        <v>37</v>
      </c>
      <c r="J77" s="87">
        <v>59</v>
      </c>
      <c r="K77"/>
    </row>
    <row r="78" spans="4:11" x14ac:dyDescent="0.25">
      <c r="D78" s="86" t="s">
        <v>37</v>
      </c>
      <c r="E78" s="87"/>
      <c r="I78" s="86" t="s">
        <v>170</v>
      </c>
      <c r="J78" s="87">
        <v>460</v>
      </c>
      <c r="K78"/>
    </row>
    <row r="79" spans="4:11" x14ac:dyDescent="0.25">
      <c r="D79" s="88" t="s">
        <v>70</v>
      </c>
      <c r="E79" s="87">
        <v>41</v>
      </c>
      <c r="K79"/>
    </row>
    <row r="80" spans="4:11" x14ac:dyDescent="0.25">
      <c r="D80" s="88" t="s">
        <v>73</v>
      </c>
      <c r="E80" s="87">
        <v>18</v>
      </c>
      <c r="K80"/>
    </row>
    <row r="81" spans="4:19" x14ac:dyDescent="0.25">
      <c r="D81" s="86" t="s">
        <v>43</v>
      </c>
      <c r="E81" s="87"/>
      <c r="I81" s="85" t="s">
        <v>171</v>
      </c>
      <c r="J81" s="85" t="s">
        <v>172</v>
      </c>
      <c r="K81"/>
      <c r="L81"/>
      <c r="M81"/>
      <c r="N81"/>
      <c r="O81" s="85" t="s">
        <v>171</v>
      </c>
      <c r="P81" s="85" t="s">
        <v>172</v>
      </c>
    </row>
    <row r="82" spans="4:19" x14ac:dyDescent="0.25">
      <c r="D82" s="88" t="s">
        <v>70</v>
      </c>
      <c r="E82" s="87">
        <v>73</v>
      </c>
      <c r="I82" s="85" t="s">
        <v>169</v>
      </c>
      <c r="J82" t="s">
        <v>70</v>
      </c>
      <c r="K82" t="s">
        <v>73</v>
      </c>
      <c r="L82" t="s">
        <v>80</v>
      </c>
      <c r="M82" t="s">
        <v>170</v>
      </c>
      <c r="N82"/>
      <c r="O82" s="85" t="s">
        <v>169</v>
      </c>
      <c r="P82" t="s">
        <v>70</v>
      </c>
      <c r="Q82" t="s">
        <v>73</v>
      </c>
      <c r="R82" t="s">
        <v>80</v>
      </c>
      <c r="S82" t="s">
        <v>170</v>
      </c>
    </row>
    <row r="83" spans="4:19" x14ac:dyDescent="0.25">
      <c r="D83" s="88" t="s">
        <v>73</v>
      </c>
      <c r="E83" s="87">
        <v>17</v>
      </c>
      <c r="I83" s="86" t="s">
        <v>140</v>
      </c>
      <c r="J83" s="87"/>
      <c r="K83" s="87">
        <v>7</v>
      </c>
      <c r="L83" s="87"/>
      <c r="M83" s="87">
        <v>7</v>
      </c>
      <c r="N83"/>
      <c r="O83" s="86" t="s">
        <v>140</v>
      </c>
      <c r="P83" s="87"/>
      <c r="Q83" s="87">
        <v>7</v>
      </c>
      <c r="R83" s="87"/>
      <c r="S83" s="87">
        <v>7</v>
      </c>
    </row>
    <row r="84" spans="4:19" x14ac:dyDescent="0.25">
      <c r="D84" s="88" t="s">
        <v>80</v>
      </c>
      <c r="E84" s="87">
        <v>47</v>
      </c>
      <c r="I84" s="86" t="s">
        <v>84</v>
      </c>
      <c r="J84" s="87">
        <v>3</v>
      </c>
      <c r="K84" s="87"/>
      <c r="L84" s="87"/>
      <c r="M84" s="87">
        <v>3</v>
      </c>
      <c r="N84"/>
      <c r="O84" s="86" t="s">
        <v>84</v>
      </c>
      <c r="P84" s="87">
        <v>3</v>
      </c>
      <c r="Q84" s="87"/>
      <c r="R84" s="87"/>
      <c r="S84" s="87">
        <v>3</v>
      </c>
    </row>
    <row r="85" spans="4:19" x14ac:dyDescent="0.25">
      <c r="D85" s="86" t="s">
        <v>31</v>
      </c>
      <c r="E85" s="87"/>
      <c r="I85" s="86" t="s">
        <v>134</v>
      </c>
      <c r="J85" s="87">
        <v>10</v>
      </c>
      <c r="K85" s="87"/>
      <c r="L85" s="87"/>
      <c r="M85" s="87">
        <v>10</v>
      </c>
      <c r="N85"/>
      <c r="O85" s="86" t="s">
        <v>134</v>
      </c>
      <c r="P85" s="87">
        <v>10</v>
      </c>
      <c r="Q85" s="87"/>
      <c r="R85" s="87"/>
      <c r="S85" s="87">
        <v>10</v>
      </c>
    </row>
    <row r="86" spans="4:19" x14ac:dyDescent="0.25">
      <c r="D86" s="88" t="s">
        <v>70</v>
      </c>
      <c r="E86" s="87">
        <v>89</v>
      </c>
      <c r="I86" s="86" t="s">
        <v>146</v>
      </c>
      <c r="J86" s="87">
        <v>5</v>
      </c>
      <c r="K86" s="87"/>
      <c r="L86" s="87"/>
      <c r="M86" s="87">
        <v>5</v>
      </c>
      <c r="N86"/>
      <c r="O86" s="86" t="s">
        <v>146</v>
      </c>
      <c r="P86" s="87">
        <v>5</v>
      </c>
      <c r="Q86" s="87"/>
      <c r="R86" s="87"/>
      <c r="S86" s="87">
        <v>5</v>
      </c>
    </row>
    <row r="87" spans="4:19" x14ac:dyDescent="0.25">
      <c r="D87" s="88" t="s">
        <v>73</v>
      </c>
      <c r="E87" s="87">
        <v>24</v>
      </c>
      <c r="I87" s="86" t="s">
        <v>106</v>
      </c>
      <c r="J87" s="87">
        <v>4</v>
      </c>
      <c r="K87" s="87"/>
      <c r="L87" s="87"/>
      <c r="M87" s="87">
        <v>4</v>
      </c>
      <c r="N87"/>
      <c r="O87" s="86" t="s">
        <v>106</v>
      </c>
      <c r="P87" s="87">
        <v>4</v>
      </c>
      <c r="Q87" s="87"/>
      <c r="R87" s="87"/>
      <c r="S87" s="87">
        <v>4</v>
      </c>
    </row>
    <row r="88" spans="4:19" x14ac:dyDescent="0.25">
      <c r="D88" s="88" t="s">
        <v>80</v>
      </c>
      <c r="E88" s="87">
        <v>5</v>
      </c>
      <c r="I88" s="86" t="s">
        <v>96</v>
      </c>
      <c r="J88" s="87">
        <v>4</v>
      </c>
      <c r="K88" s="87"/>
      <c r="L88" s="87"/>
      <c r="M88" s="87">
        <v>4</v>
      </c>
      <c r="N88"/>
      <c r="O88" s="86" t="s">
        <v>96</v>
      </c>
      <c r="P88" s="87">
        <v>4</v>
      </c>
      <c r="Q88" s="87"/>
      <c r="R88" s="87"/>
      <c r="S88" s="87">
        <v>4</v>
      </c>
    </row>
    <row r="89" spans="4:19" x14ac:dyDescent="0.25">
      <c r="I89" s="86" t="s">
        <v>150</v>
      </c>
      <c r="J89" s="87">
        <v>6</v>
      </c>
      <c r="K89" s="87"/>
      <c r="L89" s="87"/>
      <c r="M89" s="87">
        <v>6</v>
      </c>
      <c r="N89"/>
      <c r="O89" s="86" t="s">
        <v>150</v>
      </c>
      <c r="P89" s="87">
        <v>6</v>
      </c>
      <c r="Q89" s="87"/>
      <c r="R89" s="87"/>
      <c r="S89" s="87">
        <v>6</v>
      </c>
    </row>
    <row r="90" spans="4:19" x14ac:dyDescent="0.25">
      <c r="I90" s="86" t="s">
        <v>152</v>
      </c>
      <c r="J90" s="87">
        <v>13</v>
      </c>
      <c r="K90" s="87"/>
      <c r="L90" s="87"/>
      <c r="M90" s="87">
        <v>13</v>
      </c>
      <c r="N90"/>
      <c r="O90" s="86" t="s">
        <v>152</v>
      </c>
      <c r="P90" s="87">
        <v>13</v>
      </c>
      <c r="Q90" s="87"/>
      <c r="R90" s="87"/>
      <c r="S90" s="87">
        <v>13</v>
      </c>
    </row>
    <row r="91" spans="4:19" x14ac:dyDescent="0.25">
      <c r="I91" s="86" t="s">
        <v>122</v>
      </c>
      <c r="J91" s="87">
        <v>22</v>
      </c>
      <c r="K91" s="87"/>
      <c r="L91" s="87"/>
      <c r="M91" s="87">
        <v>22</v>
      </c>
      <c r="N91"/>
      <c r="O91" s="86" t="s">
        <v>122</v>
      </c>
      <c r="P91" s="87">
        <v>22</v>
      </c>
      <c r="Q91" s="87"/>
      <c r="R91" s="87"/>
      <c r="S91" s="87">
        <v>22</v>
      </c>
    </row>
    <row r="92" spans="4:19" x14ac:dyDescent="0.25">
      <c r="I92" s="86" t="s">
        <v>102</v>
      </c>
      <c r="J92" s="87">
        <v>10</v>
      </c>
      <c r="K92" s="87"/>
      <c r="L92" s="87"/>
      <c r="M92" s="87">
        <v>10</v>
      </c>
      <c r="N92"/>
      <c r="O92" s="86" t="s">
        <v>102</v>
      </c>
      <c r="P92" s="87">
        <v>10</v>
      </c>
      <c r="Q92" s="87"/>
      <c r="R92" s="87"/>
      <c r="S92" s="87">
        <v>10</v>
      </c>
    </row>
    <row r="93" spans="4:19" x14ac:dyDescent="0.25">
      <c r="I93" s="86" t="s">
        <v>75</v>
      </c>
      <c r="J93" s="87">
        <v>10</v>
      </c>
      <c r="K93" s="87"/>
      <c r="L93" s="87"/>
      <c r="M93" s="87">
        <v>10</v>
      </c>
      <c r="N93"/>
      <c r="O93" s="86" t="s">
        <v>75</v>
      </c>
      <c r="P93" s="87">
        <v>10</v>
      </c>
      <c r="Q93" s="87"/>
      <c r="R93" s="87"/>
      <c r="S93" s="87">
        <v>10</v>
      </c>
    </row>
    <row r="94" spans="4:19" x14ac:dyDescent="0.25">
      <c r="I94" s="86" t="s">
        <v>110</v>
      </c>
      <c r="J94" s="87"/>
      <c r="K94" s="87">
        <v>13</v>
      </c>
      <c r="L94" s="87"/>
      <c r="M94" s="87">
        <v>13</v>
      </c>
      <c r="N94"/>
      <c r="O94" s="86" t="s">
        <v>110</v>
      </c>
      <c r="P94" s="87"/>
      <c r="Q94" s="87">
        <v>13</v>
      </c>
      <c r="R94" s="87"/>
      <c r="S94" s="87">
        <v>13</v>
      </c>
    </row>
    <row r="95" spans="4:19" x14ac:dyDescent="0.25">
      <c r="I95" s="86" t="s">
        <v>86</v>
      </c>
      <c r="J95" s="87"/>
      <c r="K95" s="87">
        <v>9</v>
      </c>
      <c r="L95" s="87"/>
      <c r="M95" s="87">
        <v>9</v>
      </c>
      <c r="N95"/>
      <c r="O95" s="86" t="s">
        <v>86</v>
      </c>
      <c r="P95" s="87"/>
      <c r="Q95" s="87">
        <v>9</v>
      </c>
      <c r="R95" s="87"/>
      <c r="S95" s="87">
        <v>9</v>
      </c>
    </row>
    <row r="96" spans="4:19" x14ac:dyDescent="0.25">
      <c r="I96" s="86" t="s">
        <v>118</v>
      </c>
      <c r="J96" s="87">
        <v>9</v>
      </c>
      <c r="K96" s="87"/>
      <c r="L96" s="87"/>
      <c r="M96" s="87">
        <v>9</v>
      </c>
      <c r="N96"/>
      <c r="O96" s="86" t="s">
        <v>118</v>
      </c>
      <c r="P96" s="87">
        <v>9</v>
      </c>
      <c r="Q96" s="87"/>
      <c r="R96" s="87"/>
      <c r="S96" s="87">
        <v>9</v>
      </c>
    </row>
    <row r="97" spans="9:19" x14ac:dyDescent="0.25">
      <c r="I97" s="86" t="s">
        <v>126</v>
      </c>
      <c r="J97" s="87">
        <v>5</v>
      </c>
      <c r="K97" s="87"/>
      <c r="L97" s="87"/>
      <c r="M97" s="87">
        <v>5</v>
      </c>
      <c r="N97"/>
      <c r="O97" s="86" t="s">
        <v>126</v>
      </c>
      <c r="P97" s="87">
        <v>5</v>
      </c>
      <c r="Q97" s="87"/>
      <c r="R97" s="87"/>
      <c r="S97" s="87">
        <v>5</v>
      </c>
    </row>
    <row r="98" spans="9:19" x14ac:dyDescent="0.25">
      <c r="I98" s="86" t="s">
        <v>132</v>
      </c>
      <c r="J98" s="87">
        <v>8</v>
      </c>
      <c r="K98" s="87"/>
      <c r="L98" s="87"/>
      <c r="M98" s="87">
        <v>8</v>
      </c>
      <c r="N98"/>
      <c r="O98" s="86" t="s">
        <v>132</v>
      </c>
      <c r="P98" s="87">
        <v>8</v>
      </c>
      <c r="Q98" s="87"/>
      <c r="R98" s="87"/>
      <c r="S98" s="87">
        <v>8</v>
      </c>
    </row>
    <row r="99" spans="9:19" x14ac:dyDescent="0.25">
      <c r="I99" s="86" t="s">
        <v>136</v>
      </c>
      <c r="J99" s="87">
        <v>8</v>
      </c>
      <c r="K99" s="87"/>
      <c r="L99" s="87"/>
      <c r="M99" s="87">
        <v>8</v>
      </c>
      <c r="N99"/>
      <c r="O99" s="86" t="s">
        <v>136</v>
      </c>
      <c r="P99" s="87">
        <v>8</v>
      </c>
      <c r="Q99" s="87"/>
      <c r="R99" s="87"/>
      <c r="S99" s="87">
        <v>8</v>
      </c>
    </row>
    <row r="100" spans="9:19" x14ac:dyDescent="0.25">
      <c r="I100" s="86" t="s">
        <v>98</v>
      </c>
      <c r="J100" s="87"/>
      <c r="K100" s="87"/>
      <c r="L100" s="87">
        <v>5</v>
      </c>
      <c r="M100" s="87">
        <v>5</v>
      </c>
      <c r="N100"/>
      <c r="O100" s="86" t="s">
        <v>98</v>
      </c>
      <c r="P100" s="87"/>
      <c r="Q100" s="87"/>
      <c r="R100" s="87">
        <v>5</v>
      </c>
      <c r="S100" s="87">
        <v>5</v>
      </c>
    </row>
    <row r="101" spans="9:19" x14ac:dyDescent="0.25">
      <c r="I101" s="86" t="s">
        <v>69</v>
      </c>
      <c r="J101" s="87">
        <v>24</v>
      </c>
      <c r="K101" s="87"/>
      <c r="L101" s="87"/>
      <c r="M101" s="87">
        <v>24</v>
      </c>
      <c r="N101"/>
      <c r="O101" s="86" t="s">
        <v>69</v>
      </c>
      <c r="P101" s="87">
        <v>24</v>
      </c>
      <c r="Q101" s="87"/>
      <c r="R101" s="87"/>
      <c r="S101" s="87">
        <v>24</v>
      </c>
    </row>
    <row r="102" spans="9:19" x14ac:dyDescent="0.25">
      <c r="I102" s="86" t="s">
        <v>108</v>
      </c>
      <c r="J102" s="87">
        <v>18</v>
      </c>
      <c r="K102" s="87"/>
      <c r="L102" s="87"/>
      <c r="M102" s="87">
        <v>18</v>
      </c>
      <c r="N102"/>
      <c r="O102" s="86" t="s">
        <v>108</v>
      </c>
      <c r="P102" s="87">
        <v>18</v>
      </c>
      <c r="Q102" s="87"/>
      <c r="R102" s="87"/>
      <c r="S102" s="87">
        <v>18</v>
      </c>
    </row>
    <row r="103" spans="9:19" x14ac:dyDescent="0.25">
      <c r="I103" s="86" t="s">
        <v>72</v>
      </c>
      <c r="J103" s="87"/>
      <c r="K103" s="87">
        <v>16</v>
      </c>
      <c r="L103" s="87"/>
      <c r="M103" s="87">
        <v>16</v>
      </c>
      <c r="N103"/>
      <c r="O103" s="86" t="s">
        <v>72</v>
      </c>
      <c r="P103" s="87"/>
      <c r="Q103" s="87">
        <v>16</v>
      </c>
      <c r="R103" s="87"/>
      <c r="S103" s="87">
        <v>16</v>
      </c>
    </row>
    <row r="104" spans="9:19" x14ac:dyDescent="0.25">
      <c r="I104" s="86" t="s">
        <v>79</v>
      </c>
      <c r="J104" s="87"/>
      <c r="K104" s="87"/>
      <c r="L104" s="87">
        <v>30</v>
      </c>
      <c r="M104" s="87">
        <v>30</v>
      </c>
      <c r="N104"/>
      <c r="O104" s="86" t="s">
        <v>79</v>
      </c>
      <c r="P104" s="87"/>
      <c r="Q104" s="87"/>
      <c r="R104" s="87">
        <v>30</v>
      </c>
      <c r="S104" s="87">
        <v>30</v>
      </c>
    </row>
    <row r="105" spans="9:19" x14ac:dyDescent="0.25">
      <c r="I105" s="86" t="s">
        <v>138</v>
      </c>
      <c r="J105" s="87">
        <v>16</v>
      </c>
      <c r="K105" s="87"/>
      <c r="L105" s="87"/>
      <c r="M105" s="87">
        <v>16</v>
      </c>
      <c r="N105"/>
      <c r="O105" s="86" t="s">
        <v>138</v>
      </c>
      <c r="P105" s="87">
        <v>16</v>
      </c>
      <c r="Q105" s="87"/>
      <c r="R105" s="87"/>
      <c r="S105" s="87">
        <v>16</v>
      </c>
    </row>
    <row r="106" spans="9:19" x14ac:dyDescent="0.25">
      <c r="I106" s="86" t="s">
        <v>82</v>
      </c>
      <c r="J106" s="87">
        <v>8</v>
      </c>
      <c r="K106" s="87"/>
      <c r="L106" s="87"/>
      <c r="M106" s="87">
        <v>8</v>
      </c>
      <c r="N106"/>
      <c r="O106" s="86" t="s">
        <v>82</v>
      </c>
      <c r="P106" s="87">
        <v>8</v>
      </c>
      <c r="Q106" s="87"/>
      <c r="R106" s="87"/>
      <c r="S106" s="87">
        <v>8</v>
      </c>
    </row>
    <row r="107" spans="9:19" x14ac:dyDescent="0.25">
      <c r="I107" s="86" t="s">
        <v>104</v>
      </c>
      <c r="J107" s="87"/>
      <c r="K107" s="87">
        <v>8</v>
      </c>
      <c r="L107" s="87"/>
      <c r="M107" s="87">
        <v>8</v>
      </c>
      <c r="N107"/>
      <c r="O107" s="86" t="s">
        <v>104</v>
      </c>
      <c r="P107" s="87"/>
      <c r="Q107" s="87">
        <v>8</v>
      </c>
      <c r="R107" s="87"/>
      <c r="S107" s="87">
        <v>8</v>
      </c>
    </row>
    <row r="108" spans="9:19" x14ac:dyDescent="0.25">
      <c r="I108" s="86" t="s">
        <v>128</v>
      </c>
      <c r="J108" s="87"/>
      <c r="K108" s="87">
        <v>11</v>
      </c>
      <c r="L108" s="87"/>
      <c r="M108" s="87">
        <v>11</v>
      </c>
      <c r="N108"/>
      <c r="O108" s="86" t="s">
        <v>128</v>
      </c>
      <c r="P108" s="87"/>
      <c r="Q108" s="87">
        <v>11</v>
      </c>
      <c r="R108" s="87"/>
      <c r="S108" s="87">
        <v>11</v>
      </c>
    </row>
    <row r="109" spans="9:19" x14ac:dyDescent="0.25">
      <c r="I109" s="86" t="s">
        <v>130</v>
      </c>
      <c r="J109" s="87">
        <v>12</v>
      </c>
      <c r="K109" s="87"/>
      <c r="L109" s="87"/>
      <c r="M109" s="87">
        <v>12</v>
      </c>
      <c r="N109"/>
      <c r="O109" s="86" t="s">
        <v>130</v>
      </c>
      <c r="P109" s="87">
        <v>12</v>
      </c>
      <c r="Q109" s="87"/>
      <c r="R109" s="87"/>
      <c r="S109" s="87">
        <v>12</v>
      </c>
    </row>
    <row r="110" spans="9:19" x14ac:dyDescent="0.25">
      <c r="I110" s="86" t="s">
        <v>124</v>
      </c>
      <c r="J110" s="87"/>
      <c r="K110" s="87"/>
      <c r="L110" s="87">
        <v>6</v>
      </c>
      <c r="M110" s="87">
        <v>6</v>
      </c>
      <c r="N110"/>
      <c r="O110" s="86" t="s">
        <v>124</v>
      </c>
      <c r="P110" s="87"/>
      <c r="Q110" s="87"/>
      <c r="R110" s="87">
        <v>6</v>
      </c>
      <c r="S110" s="87">
        <v>6</v>
      </c>
    </row>
    <row r="111" spans="9:19" x14ac:dyDescent="0.25">
      <c r="I111" s="86" t="s">
        <v>90</v>
      </c>
      <c r="J111" s="87">
        <v>14</v>
      </c>
      <c r="K111" s="87"/>
      <c r="L111" s="87"/>
      <c r="M111" s="87">
        <v>14</v>
      </c>
      <c r="N111"/>
      <c r="O111" s="86" t="s">
        <v>90</v>
      </c>
      <c r="P111" s="87">
        <v>14</v>
      </c>
      <c r="Q111" s="87"/>
      <c r="R111" s="87"/>
      <c r="S111" s="87">
        <v>14</v>
      </c>
    </row>
    <row r="112" spans="9:19" x14ac:dyDescent="0.25">
      <c r="I112" s="86" t="s">
        <v>94</v>
      </c>
      <c r="J112" s="87">
        <v>28</v>
      </c>
      <c r="K112" s="87"/>
      <c r="L112" s="87"/>
      <c r="M112" s="87">
        <v>28</v>
      </c>
      <c r="N112"/>
      <c r="O112" s="86" t="s">
        <v>94</v>
      </c>
      <c r="P112" s="87">
        <v>28</v>
      </c>
      <c r="Q112" s="87"/>
      <c r="R112" s="87"/>
      <c r="S112" s="87">
        <v>28</v>
      </c>
    </row>
    <row r="113" spans="9:19" x14ac:dyDescent="0.25">
      <c r="I113" s="86" t="s">
        <v>77</v>
      </c>
      <c r="J113" s="87">
        <v>12</v>
      </c>
      <c r="K113" s="87"/>
      <c r="L113" s="87"/>
      <c r="M113" s="87">
        <v>12</v>
      </c>
      <c r="N113"/>
      <c r="O113" s="86" t="s">
        <v>77</v>
      </c>
      <c r="P113" s="87">
        <v>12</v>
      </c>
      <c r="Q113" s="87"/>
      <c r="R113" s="87"/>
      <c r="S113" s="87">
        <v>12</v>
      </c>
    </row>
    <row r="114" spans="9:19" x14ac:dyDescent="0.25">
      <c r="I114" s="86" t="s">
        <v>100</v>
      </c>
      <c r="J114" s="87">
        <v>6</v>
      </c>
      <c r="K114" s="87"/>
      <c r="L114" s="87"/>
      <c r="M114" s="87">
        <v>6</v>
      </c>
      <c r="N114"/>
      <c r="O114" s="86" t="s">
        <v>100</v>
      </c>
      <c r="P114" s="87">
        <v>6</v>
      </c>
      <c r="Q114" s="87"/>
      <c r="R114" s="87"/>
      <c r="S114" s="87">
        <v>6</v>
      </c>
    </row>
    <row r="115" spans="9:19" x14ac:dyDescent="0.25">
      <c r="I115" s="86" t="s">
        <v>116</v>
      </c>
      <c r="J115" s="87"/>
      <c r="K115" s="87">
        <v>3</v>
      </c>
      <c r="L115" s="87"/>
      <c r="M115" s="87">
        <v>3</v>
      </c>
      <c r="N115"/>
      <c r="O115" s="86" t="s">
        <v>116</v>
      </c>
      <c r="P115" s="87"/>
      <c r="Q115" s="87">
        <v>3</v>
      </c>
      <c r="R115" s="87"/>
      <c r="S115" s="87">
        <v>3</v>
      </c>
    </row>
    <row r="116" spans="9:19" x14ac:dyDescent="0.25">
      <c r="I116" s="86" t="s">
        <v>92</v>
      </c>
      <c r="J116" s="87"/>
      <c r="K116" s="87">
        <v>11</v>
      </c>
      <c r="L116" s="87"/>
      <c r="M116" s="87">
        <v>11</v>
      </c>
      <c r="N116"/>
      <c r="O116" s="86" t="s">
        <v>92</v>
      </c>
      <c r="P116" s="87"/>
      <c r="Q116" s="87">
        <v>11</v>
      </c>
      <c r="R116" s="87"/>
      <c r="S116" s="87">
        <v>11</v>
      </c>
    </row>
    <row r="117" spans="9:19" x14ac:dyDescent="0.25">
      <c r="I117" s="86" t="s">
        <v>120</v>
      </c>
      <c r="J117" s="87">
        <v>2</v>
      </c>
      <c r="K117" s="87"/>
      <c r="L117" s="87"/>
      <c r="M117" s="87">
        <v>2</v>
      </c>
      <c r="N117"/>
      <c r="O117" s="86" t="s">
        <v>120</v>
      </c>
      <c r="P117" s="87">
        <v>2</v>
      </c>
      <c r="Q117" s="87"/>
      <c r="R117" s="87"/>
      <c r="S117" s="87">
        <v>2</v>
      </c>
    </row>
    <row r="118" spans="9:19" x14ac:dyDescent="0.25">
      <c r="I118" s="86" t="s">
        <v>88</v>
      </c>
      <c r="J118" s="87"/>
      <c r="K118" s="87"/>
      <c r="L118" s="87">
        <v>40</v>
      </c>
      <c r="M118" s="87">
        <v>40</v>
      </c>
      <c r="N118"/>
      <c r="O118" s="86" t="s">
        <v>88</v>
      </c>
      <c r="P118" s="87"/>
      <c r="Q118" s="87"/>
      <c r="R118" s="87">
        <v>40</v>
      </c>
      <c r="S118" s="87">
        <v>40</v>
      </c>
    </row>
    <row r="119" spans="9:19" x14ac:dyDescent="0.25">
      <c r="I119" s="86" t="s">
        <v>142</v>
      </c>
      <c r="J119" s="87">
        <v>9</v>
      </c>
      <c r="K119" s="87"/>
      <c r="L119" s="87"/>
      <c r="M119" s="87">
        <v>9</v>
      </c>
      <c r="N119"/>
      <c r="O119" s="86" t="s">
        <v>142</v>
      </c>
      <c r="P119" s="87">
        <v>9</v>
      </c>
      <c r="Q119" s="87"/>
      <c r="R119" s="87"/>
      <c r="S119" s="87">
        <v>9</v>
      </c>
    </row>
    <row r="120" spans="9:19" x14ac:dyDescent="0.25">
      <c r="I120" s="86" t="s">
        <v>114</v>
      </c>
      <c r="J120" s="87">
        <v>14</v>
      </c>
      <c r="K120" s="87"/>
      <c r="L120" s="87"/>
      <c r="M120" s="87">
        <v>14</v>
      </c>
      <c r="N120"/>
      <c r="O120" s="86" t="s">
        <v>114</v>
      </c>
      <c r="P120" s="87">
        <v>14</v>
      </c>
      <c r="Q120" s="87"/>
      <c r="R120" s="87"/>
      <c r="S120" s="87">
        <v>14</v>
      </c>
    </row>
    <row r="121" spans="9:19" x14ac:dyDescent="0.25">
      <c r="I121" s="86" t="s">
        <v>112</v>
      </c>
      <c r="J121" s="87">
        <v>7</v>
      </c>
      <c r="K121" s="87"/>
      <c r="L121" s="87"/>
      <c r="M121" s="87">
        <v>7</v>
      </c>
      <c r="N121"/>
      <c r="O121" s="86" t="s">
        <v>112</v>
      </c>
      <c r="P121" s="87">
        <v>7</v>
      </c>
      <c r="Q121" s="87"/>
      <c r="R121" s="87"/>
      <c r="S121" s="87">
        <v>7</v>
      </c>
    </row>
    <row r="122" spans="9:19" x14ac:dyDescent="0.25">
      <c r="I122" s="86" t="s">
        <v>144</v>
      </c>
      <c r="J122" s="87"/>
      <c r="K122" s="87"/>
      <c r="L122" s="87">
        <v>11</v>
      </c>
      <c r="M122" s="87">
        <v>11</v>
      </c>
      <c r="N122"/>
      <c r="O122" s="86" t="s">
        <v>144</v>
      </c>
      <c r="P122" s="87"/>
      <c r="Q122" s="87"/>
      <c r="R122" s="87">
        <v>11</v>
      </c>
      <c r="S122" s="87">
        <v>11</v>
      </c>
    </row>
    <row r="123" spans="9:19" x14ac:dyDescent="0.25">
      <c r="I123" s="86" t="s">
        <v>148</v>
      </c>
      <c r="J123" s="87">
        <v>3</v>
      </c>
      <c r="K123" s="87"/>
      <c r="L123" s="87"/>
      <c r="M123" s="87">
        <v>3</v>
      </c>
      <c r="N123"/>
      <c r="O123" s="86" t="s">
        <v>148</v>
      </c>
      <c r="P123" s="87">
        <v>3</v>
      </c>
      <c r="Q123" s="87"/>
      <c r="R123" s="87"/>
      <c r="S123" s="87">
        <v>3</v>
      </c>
    </row>
    <row r="124" spans="9:19" x14ac:dyDescent="0.25">
      <c r="I124" s="86" t="s">
        <v>170</v>
      </c>
      <c r="J124" s="87">
        <v>290</v>
      </c>
      <c r="K124" s="87">
        <v>78</v>
      </c>
      <c r="L124" s="87">
        <v>92</v>
      </c>
      <c r="M124" s="87">
        <v>460</v>
      </c>
      <c r="N124"/>
      <c r="O124" s="86" t="s">
        <v>170</v>
      </c>
      <c r="P124" s="87">
        <v>290</v>
      </c>
      <c r="Q124" s="87">
        <v>78</v>
      </c>
      <c r="R124" s="87">
        <v>92</v>
      </c>
      <c r="S124" s="87">
        <v>460</v>
      </c>
    </row>
    <row r="125" spans="9:19" x14ac:dyDescent="0.25">
      <c r="K125"/>
      <c r="L125"/>
      <c r="M125"/>
      <c r="N125"/>
    </row>
    <row r="126" spans="9:19" x14ac:dyDescent="0.25">
      <c r="K126"/>
      <c r="L126"/>
      <c r="M126"/>
    </row>
    <row r="127" spans="9:19" x14ac:dyDescent="0.25">
      <c r="K127"/>
      <c r="L127"/>
      <c r="M127"/>
    </row>
    <row r="128" spans="9:19" x14ac:dyDescent="0.25">
      <c r="K128"/>
      <c r="L128"/>
      <c r="M128"/>
    </row>
    <row r="129" spans="11:13" x14ac:dyDescent="0.25">
      <c r="K129"/>
      <c r="L129"/>
      <c r="M129"/>
    </row>
    <row r="130" spans="11:13" x14ac:dyDescent="0.25">
      <c r="K130"/>
      <c r="L130"/>
      <c r="M130"/>
    </row>
    <row r="131" spans="11:13" x14ac:dyDescent="0.25">
      <c r="K131"/>
      <c r="L131"/>
      <c r="M131"/>
    </row>
    <row r="132" spans="11:13" x14ac:dyDescent="0.25">
      <c r="K132"/>
      <c r="L132"/>
      <c r="M132"/>
    </row>
    <row r="133" spans="11:13" x14ac:dyDescent="0.25">
      <c r="K133"/>
      <c r="L133"/>
      <c r="M133"/>
    </row>
    <row r="134" spans="11:13" x14ac:dyDescent="0.25">
      <c r="K134"/>
      <c r="L134"/>
      <c r="M134"/>
    </row>
    <row r="135" spans="11:13" x14ac:dyDescent="0.25">
      <c r="K135"/>
      <c r="L135"/>
      <c r="M135"/>
    </row>
    <row r="136" spans="11:13" x14ac:dyDescent="0.25">
      <c r="K136"/>
      <c r="L136"/>
      <c r="M136"/>
    </row>
    <row r="137" spans="11:13" x14ac:dyDescent="0.25">
      <c r="K137"/>
      <c r="L137"/>
      <c r="M137"/>
    </row>
    <row r="138" spans="11:13" x14ac:dyDescent="0.25">
      <c r="K138"/>
      <c r="L138"/>
      <c r="M138"/>
    </row>
    <row r="139" spans="11:13" x14ac:dyDescent="0.25">
      <c r="K139"/>
      <c r="L139"/>
      <c r="M139"/>
    </row>
    <row r="140" spans="11:13" x14ac:dyDescent="0.25">
      <c r="K140"/>
      <c r="L140"/>
      <c r="M140"/>
    </row>
    <row r="141" spans="11:13" x14ac:dyDescent="0.25">
      <c r="K141"/>
      <c r="L141"/>
      <c r="M141"/>
    </row>
    <row r="142" spans="11:13" x14ac:dyDescent="0.25">
      <c r="K142"/>
      <c r="L142"/>
      <c r="M142"/>
    </row>
    <row r="143" spans="11:13" x14ac:dyDescent="0.25">
      <c r="K143"/>
      <c r="L143"/>
      <c r="M143"/>
    </row>
    <row r="144" spans="11:13" x14ac:dyDescent="0.25">
      <c r="K144"/>
      <c r="L144"/>
      <c r="M144"/>
    </row>
    <row r="145" spans="11:13" x14ac:dyDescent="0.25">
      <c r="K145"/>
      <c r="L145"/>
      <c r="M145"/>
    </row>
    <row r="146" spans="11:13" x14ac:dyDescent="0.25">
      <c r="K146"/>
      <c r="L146"/>
      <c r="M146"/>
    </row>
    <row r="147" spans="11:13" x14ac:dyDescent="0.25">
      <c r="K147"/>
      <c r="L147"/>
      <c r="M147"/>
    </row>
    <row r="148" spans="11:13" x14ac:dyDescent="0.25">
      <c r="K148"/>
      <c r="L148"/>
      <c r="M148"/>
    </row>
    <row r="149" spans="11:13" x14ac:dyDescent="0.25">
      <c r="K149"/>
      <c r="L149"/>
      <c r="M149"/>
    </row>
    <row r="150" spans="11:13" x14ac:dyDescent="0.25">
      <c r="K150"/>
      <c r="L150"/>
      <c r="M150"/>
    </row>
    <row r="151" spans="11:13" x14ac:dyDescent="0.25">
      <c r="K151"/>
      <c r="L151"/>
      <c r="M151"/>
    </row>
    <row r="152" spans="11:13" x14ac:dyDescent="0.25">
      <c r="K152"/>
      <c r="L152"/>
      <c r="M152"/>
    </row>
    <row r="153" spans="11:13" x14ac:dyDescent="0.25">
      <c r="K153"/>
      <c r="L153"/>
      <c r="M153"/>
    </row>
    <row r="154" spans="11:13" x14ac:dyDescent="0.25">
      <c r="K154"/>
      <c r="L154"/>
      <c r="M154"/>
    </row>
    <row r="155" spans="11:13" x14ac:dyDescent="0.25">
      <c r="K155"/>
      <c r="L155"/>
      <c r="M155"/>
    </row>
    <row r="156" spans="11:13" x14ac:dyDescent="0.25">
      <c r="K156"/>
      <c r="L156"/>
      <c r="M156"/>
    </row>
    <row r="157" spans="11:13" x14ac:dyDescent="0.25">
      <c r="K157"/>
      <c r="L157"/>
      <c r="M157"/>
    </row>
    <row r="158" spans="11:13" x14ac:dyDescent="0.25">
      <c r="K158"/>
      <c r="L158"/>
      <c r="M158"/>
    </row>
    <row r="159" spans="11:13" x14ac:dyDescent="0.25">
      <c r="K159"/>
      <c r="L159"/>
      <c r="M159"/>
    </row>
    <row r="160" spans="11:13" x14ac:dyDescent="0.25">
      <c r="K160"/>
      <c r="L160"/>
      <c r="M160"/>
    </row>
    <row r="161" spans="11:13" x14ac:dyDescent="0.25">
      <c r="K161"/>
      <c r="L161"/>
      <c r="M161"/>
    </row>
    <row r="162" spans="11:13" x14ac:dyDescent="0.25">
      <c r="K162"/>
      <c r="L162"/>
      <c r="M162"/>
    </row>
    <row r="163" spans="11:13" x14ac:dyDescent="0.25">
      <c r="K163"/>
      <c r="L163"/>
      <c r="M163"/>
    </row>
    <row r="164" spans="11:13" x14ac:dyDescent="0.25">
      <c r="K164"/>
      <c r="L164"/>
      <c r="M164"/>
    </row>
    <row r="165" spans="11:13" x14ac:dyDescent="0.25">
      <c r="K165"/>
      <c r="L165"/>
      <c r="M165"/>
    </row>
  </sheetData>
  <phoneticPr fontId="13" type="noConversion"/>
  <conditionalFormatting pivot="1" sqref="E75:E77 E79:E80 E82:E84 E86:E88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{0A10C9B1-B2AA-40BC-B991-0B40D6C3BD2E}</x14:id>
        </ext>
      </extLst>
    </cfRule>
  </conditionalFormatting>
  <conditionalFormatting pivot="1" sqref="J74:J7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{F9E483D9-1007-498E-A44E-F8ADD35F4926}</x14:id>
        </ext>
      </extLst>
    </cfRule>
  </conditionalFormatting>
  <conditionalFormatting pivot="1" sqref="J83:M124">
    <cfRule type="cellIs" dxfId="14" priority="4" operator="lessThan">
      <formula>7</formula>
    </cfRule>
  </conditionalFormatting>
  <conditionalFormatting pivot="1" sqref="P83:R123">
    <cfRule type="cellIs" dxfId="13" priority="3" operator="lessThan">
      <formula>7</formula>
    </cfRule>
  </conditionalFormatting>
  <conditionalFormatting pivot="1" sqref="P83:S124">
    <cfRule type="iconSet" priority="1">
      <iconSet iconSet="3Signs">
        <cfvo type="percent" val="0"/>
        <cfvo type="num" val="10"/>
        <cfvo type="num" val="20"/>
      </iconSet>
    </cfRule>
  </conditionalFormatting>
  <pageMargins left="0.7" right="0.7" top="0.75" bottom="0.75" header="0.3" footer="0.3"/>
  <drawing r:id="rId7"/>
  <tableParts count="1">
    <tablePart r:id="rId8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0A10C9B1-B2AA-40BC-B991-0B40D6C3BD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E75:E77 E79:E80 E82:E84 E86:E88</xm:sqref>
        </x14:conditionalFormatting>
        <x14:conditionalFormatting xmlns:xm="http://schemas.microsoft.com/office/excel/2006/main" pivot="1">
          <x14:cfRule type="dataBar" id="{F9E483D9-1007-498E-A44E-F8ADD35F49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J74:J77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Hoja2</vt:lpstr>
      <vt:lpstr>MANEJO DE FILAS Y COLUMNAS</vt:lpstr>
      <vt:lpstr>MANEJO DE TABLAS</vt:lpstr>
      <vt:lpstr>FORMATO DECELDAS,RANGOS,TABLAS</vt:lpstr>
      <vt:lpstr>ejercicios con tablas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javi</cp:lastModifiedBy>
  <dcterms:created xsi:type="dcterms:W3CDTF">2026-08-03T16:27:56Z</dcterms:created>
  <dcterms:modified xsi:type="dcterms:W3CDTF">2026-08-11T01:32:12Z</dcterms:modified>
</cp:coreProperties>
</file>